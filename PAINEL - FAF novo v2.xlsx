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B81EE3E0-B430-4B8C-B5BD-B2B1B1D12E6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dos BI" sheetId="2" r:id="rId1"/>
    <sheet name="Tipo de Conta" sheetId="3" r:id="rId2"/>
  </sheets>
  <definedNames>
    <definedName name="_xlnm._FilterDatabase" localSheetId="0" hidden="1">'Dados BI'!$A$1:$AM$1061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92" i="2" l="1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591" i="2"/>
  <c r="N590" i="2"/>
  <c r="N588" i="2"/>
  <c r="N587" i="2"/>
  <c r="N578" i="2"/>
  <c r="N576" i="2"/>
  <c r="N577" i="2"/>
  <c r="N579" i="2"/>
  <c r="N580" i="2"/>
  <c r="N581" i="2"/>
  <c r="N582" i="2"/>
  <c r="N583" i="2"/>
  <c r="N584" i="2"/>
  <c r="N575" i="2"/>
  <c r="N574" i="2"/>
  <c r="N556" i="2"/>
  <c r="N568" i="2"/>
  <c r="N558" i="2"/>
  <c r="N554" i="2"/>
  <c r="N553" i="2"/>
  <c r="N549" i="2"/>
  <c r="N525" i="2"/>
  <c r="N522" i="2"/>
  <c r="N521" i="2"/>
  <c r="N519" i="2"/>
  <c r="N490" i="2"/>
  <c r="N487" i="2"/>
  <c r="N485" i="2"/>
  <c r="N480" i="2"/>
  <c r="N479" i="2"/>
  <c r="N477" i="2"/>
  <c r="N476" i="2"/>
  <c r="N474" i="2"/>
  <c r="N468" i="2"/>
  <c r="N456" i="2"/>
  <c r="N453" i="2"/>
  <c r="N449" i="2"/>
  <c r="N446" i="2"/>
  <c r="N444" i="2"/>
  <c r="N443" i="2"/>
  <c r="N386" i="2"/>
  <c r="N384" i="2"/>
  <c r="N383" i="2"/>
  <c r="N380" i="2"/>
  <c r="N361" i="2"/>
  <c r="N360" i="2"/>
  <c r="N359" i="2"/>
  <c r="N355" i="2"/>
  <c r="N346" i="2"/>
  <c r="N345" i="2"/>
  <c r="N344" i="2"/>
  <c r="N343" i="2"/>
  <c r="N342" i="2"/>
  <c r="N340" i="2"/>
  <c r="N339" i="2"/>
  <c r="N338" i="2"/>
  <c r="N337" i="2"/>
  <c r="N336" i="2"/>
  <c r="N335" i="2"/>
  <c r="N329" i="2"/>
  <c r="N324" i="2"/>
  <c r="N323" i="2"/>
  <c r="N322" i="2"/>
  <c r="N319" i="2"/>
  <c r="N318" i="2"/>
  <c r="N316" i="2"/>
  <c r="N307" i="2"/>
  <c r="N288" i="2"/>
  <c r="N266" i="2"/>
  <c r="N263" i="2"/>
  <c r="N262" i="2"/>
  <c r="N261" i="2"/>
  <c r="N260" i="2"/>
  <c r="N259" i="2"/>
  <c r="N258" i="2"/>
  <c r="N257" i="2"/>
  <c r="N256" i="2"/>
  <c r="N255" i="2"/>
  <c r="N254" i="2"/>
  <c r="N253" i="2"/>
  <c r="N252" i="2"/>
  <c r="N251" i="2"/>
  <c r="N248" i="2"/>
  <c r="N247" i="2"/>
  <c r="N246" i="2"/>
  <c r="N245" i="2"/>
  <c r="N244" i="2"/>
  <c r="N243" i="2"/>
  <c r="N242" i="2"/>
  <c r="N241" i="2"/>
  <c r="N239" i="2"/>
  <c r="N238" i="2"/>
  <c r="N237" i="2"/>
  <c r="N233" i="2"/>
  <c r="N232" i="2"/>
  <c r="N226" i="2"/>
  <c r="N225" i="2"/>
  <c r="N224" i="2"/>
  <c r="N208" i="2"/>
  <c r="N201" i="2"/>
  <c r="N197" i="2"/>
  <c r="N194" i="2"/>
  <c r="N191" i="2"/>
  <c r="N190" i="2"/>
  <c r="N189" i="2"/>
  <c r="N188" i="2"/>
  <c r="N185" i="2"/>
  <c r="N181" i="2"/>
  <c r="N180" i="2"/>
  <c r="N179" i="2"/>
  <c r="N178" i="2"/>
  <c r="N163" i="2"/>
  <c r="N160" i="2"/>
  <c r="N146" i="2"/>
  <c r="N144" i="2"/>
  <c r="N143" i="2"/>
  <c r="N141" i="2"/>
  <c r="N137" i="2"/>
  <c r="N136" i="2"/>
  <c r="N129" i="2"/>
  <c r="N120" i="2"/>
  <c r="N108" i="2"/>
  <c r="N8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100-000001000000}">
      <text>
        <r>
          <rPr>
            <sz val="11"/>
            <color theme="1"/>
            <rFont val="Calibri"/>
            <scheme val="minor"/>
          </rPr>
          <t>- SETOR DEMANDANTE (UIAG, DPC, DEOS, DTI, DOT, COEAP, DRH)
- UIAG
- CPL
- GABINETE
- AJUR
- UCI
- UIFP
- DGCP</t>
        </r>
      </text>
    </comment>
    <comment ref="D1" authorId="0" shapeId="0" xr:uid="{00000000-0006-0000-0100-000002000000}">
      <text>
        <r>
          <rPr>
            <sz val="11"/>
            <color theme="1"/>
            <rFont val="Calibri"/>
            <scheme val="minor"/>
          </rPr>
          <t xml:space="preserve">- PENDENTE
- INFORMAÇÃO DISPONIBILIDADE ORÇAMENTÁRIA PENDENTE
- EM EXECUÇÃO: DFD, ETP, AR
- EM EXECUÇÃO: TR, PM
</t>
        </r>
      </text>
    </comment>
    <comment ref="E1" authorId="0" shapeId="0" xr:uid="{00000000-0006-0000-0100-000003000000}">
      <text>
        <r>
          <rPr>
            <sz val="11"/>
            <color theme="1"/>
            <rFont val="Calibri"/>
            <scheme val="minor"/>
          </rPr>
          <t xml:space="preserve">- ELABORAÇÃO: MINUTA DE EDITAL E CONTRATO;
- CADASTRAMENTO NO PNCP + DIVULGAÇÃO;
- RECURSO OU PEDIDO DE ESCLARECIMENTO;
- SESSÃO: SELEÇÃO FORNECEDOR;
- ANÁLISE DE HABILITAÇÃO E PREÇO;
- ANÁLISE DE COMPATIBILIDADE PELA ÁREA TÉCNICA;
- RECURSO;
- HOMOLOGAÇÃO;
- CELEBRAÇÃO DO CONTRATO;
- DIVULGAÇÃO.
</t>
        </r>
      </text>
    </comment>
    <comment ref="F1" authorId="0" shapeId="0" xr:uid="{00000000-0006-0000-0100-000004000000}">
      <text>
        <r>
          <rPr>
            <sz val="11"/>
            <color theme="1"/>
            <rFont val="Calibri"/>
            <scheme val="minor"/>
          </rPr>
          <t>- PREGÃO
- CONCORRÊNCIA
- CONCURSO
- LEILÃO
- DIÁLOGO COMPETITIVO
- DISPENSA DE LICITAÇÃO
- INEXIGIBILIDADE
- PARCERIA OSC - LEI 13.019/2014</t>
        </r>
      </text>
    </comment>
    <comment ref="AH346" authorId="0" shapeId="0" xr:uid="{00000000-0006-0000-0100-000005000000}">
      <text>
        <r>
          <rPr>
            <sz val="11"/>
            <color theme="1"/>
            <rFont val="Calibri"/>
            <scheme val="minor"/>
          </rPr>
          <t>Waddington Freitas da Silva:
1 MEDIÇÃO - PARTE 1</t>
        </r>
      </text>
    </comment>
    <comment ref="AH347" authorId="0" shapeId="0" xr:uid="{00000000-0006-0000-0100-000006000000}">
      <text>
        <r>
          <rPr>
            <sz val="11"/>
            <color theme="1"/>
            <rFont val="Calibri"/>
            <scheme val="minor"/>
          </rPr>
          <t>Waddington Freitas da Silva:
1 MEDIÇÃO - PARTE 2</t>
        </r>
      </text>
    </comment>
    <comment ref="AH348" authorId="0" shapeId="0" xr:uid="{00000000-0006-0000-0100-000007000000}">
      <text>
        <r>
          <rPr>
            <sz val="11"/>
            <color theme="1"/>
            <rFont val="Calibri"/>
            <scheme val="minor"/>
          </rPr>
          <t>Waddington Freitas da Silva:
2 MEDIÇÃO - PARTE 1</t>
        </r>
      </text>
    </comment>
    <comment ref="AH349" authorId="0" shapeId="0" xr:uid="{00000000-0006-0000-0100-000008000000}">
      <text>
        <r>
          <rPr>
            <sz val="11"/>
            <color theme="1"/>
            <rFont val="Calibri"/>
            <scheme val="minor"/>
          </rPr>
          <t>Waddington Freitas da Silva:
2 MEDIÇÃO - PARTE 2</t>
        </r>
      </text>
    </comment>
    <comment ref="AH350" authorId="0" shapeId="0" xr:uid="{00000000-0006-0000-0100-000009000000}">
      <text>
        <r>
          <rPr>
            <sz val="11"/>
            <color theme="1"/>
            <rFont val="Calibri"/>
            <scheme val="minor"/>
          </rPr>
          <t>Waddington Freitas da Silva:
3 MEDIÇÃO - PARTE 1</t>
        </r>
      </text>
    </comment>
    <comment ref="AH351" authorId="0" shapeId="0" xr:uid="{00000000-0006-0000-0100-00000A000000}">
      <text>
        <r>
          <rPr>
            <sz val="11"/>
            <color theme="1"/>
            <rFont val="Calibri"/>
            <scheme val="minor"/>
          </rPr>
          <t>Waddington Freitas da Silva:
3 MEDIÇÃO - PARTE 2</t>
        </r>
      </text>
    </comment>
    <comment ref="AH352" authorId="0" shapeId="0" xr:uid="{00000000-0006-0000-0100-00000B000000}">
      <text>
        <r>
          <rPr>
            <sz val="11"/>
            <color theme="1"/>
            <rFont val="Calibri"/>
            <scheme val="minor"/>
          </rPr>
          <t>Waddington Freitas da Silva:
4 MEDIÇÃO - PARTE 1</t>
        </r>
      </text>
    </comment>
    <comment ref="AH353" authorId="0" shapeId="0" xr:uid="{00000000-0006-0000-0100-00000C000000}">
      <text>
        <r>
          <rPr>
            <sz val="11"/>
            <color theme="1"/>
            <rFont val="Calibri"/>
            <scheme val="minor"/>
          </rPr>
          <t>Waddington Freitas da Silva:
4 MEDIÇÃO - PARTE 2</t>
        </r>
      </text>
    </comment>
  </commentList>
</comments>
</file>

<file path=xl/sharedStrings.xml><?xml version="1.0" encoding="utf-8"?>
<sst xmlns="http://schemas.openxmlformats.org/spreadsheetml/2006/main" count="2116" uniqueCount="902">
  <si>
    <t>ANO</t>
  </si>
  <si>
    <t>PROCESSO DE EXECUÇÃO Nº</t>
  </si>
  <si>
    <t>LOCALIZAÇÃO</t>
  </si>
  <si>
    <t>FASE DE PLANEJAMENTO</t>
  </si>
  <si>
    <t>FASE DE SELEÇÃO DO FORNECEDOR</t>
  </si>
  <si>
    <t>MODALIDADE DE CONTRATAÇÃO</t>
  </si>
  <si>
    <t>CONTRATO Nº</t>
  </si>
  <si>
    <t>SEI ID</t>
  </si>
  <si>
    <t>VALOR UNITÁRIO CONTRATADO</t>
  </si>
  <si>
    <t>VALOR TOTAL CONTRATADO</t>
  </si>
  <si>
    <t>DATA DA ASSINATURA</t>
  </si>
  <si>
    <t>PRAZO DE ENTREGA (DIAS)</t>
  </si>
  <si>
    <t>DATA LIMITE DE ENTREGA</t>
  </si>
  <si>
    <t>GESTOR</t>
  </si>
  <si>
    <t>PORTARIA SEI ID</t>
  </si>
  <si>
    <t>FISCAL</t>
  </si>
  <si>
    <t>TERMO DE RECEBIMENTO PROVISÓRIO SEI ID</t>
  </si>
  <si>
    <t>DATA DE RECEBIMENTO PROVISÓRIO</t>
  </si>
  <si>
    <t>TERMO DE RECEBIMENTO DEFINITIVO SEI ID</t>
  </si>
  <si>
    <t>DATA DE RECEBIMENTO DEFINITIVO</t>
  </si>
  <si>
    <t>GUIA DE TOMBAMENTO SEI ID</t>
  </si>
  <si>
    <t>TOMBO Nº</t>
  </si>
  <si>
    <t>NOTA FISCAL Nº</t>
  </si>
  <si>
    <t>NOTA FISCAL DATA</t>
  </si>
  <si>
    <t>NOTA FISCAL VALOR TOTAL</t>
  </si>
  <si>
    <t>EMPENHO Nº</t>
  </si>
  <si>
    <t>DATA DO EMPENHO</t>
  </si>
  <si>
    <t>VALOR DO EMPENHO</t>
  </si>
  <si>
    <t>ORDEM BANCÁRIA Nº</t>
  </si>
  <si>
    <t>DATA DA ORDEM BANCÁRIA</t>
  </si>
  <si>
    <t>VALOR DA ORDEM BANCÁRIA</t>
  </si>
  <si>
    <t>FONTE DA ORDEM BANCÁRIA</t>
  </si>
  <si>
    <t>CONTA BANCARIA</t>
  </si>
  <si>
    <t>06010043.004708/2022-23</t>
  </si>
  <si>
    <t>DIVULGAÇÃO</t>
  </si>
  <si>
    <t>PREGÃO</t>
  </si>
  <si>
    <t>Victor Hugo Gomes e Souza Braz</t>
  </si>
  <si>
    <t>2023NE000211</t>
  </si>
  <si>
    <t>2024OB031823</t>
  </si>
  <si>
    <t>12943-7</t>
  </si>
  <si>
    <t>2024NE000133</t>
  </si>
  <si>
    <t>06010043.000204/2022-34</t>
  </si>
  <si>
    <t>2022NE000210</t>
  </si>
  <si>
    <t>2023OB031624</t>
  </si>
  <si>
    <t>11939-3</t>
  </si>
  <si>
    <t>06010004.001037/2023-96</t>
  </si>
  <si>
    <t>Parcelado</t>
  </si>
  <si>
    <t>FELIPE CANTALICE DA SILVA TRINDADE</t>
  </si>
  <si>
    <t>2023NE000104</t>
  </si>
  <si>
    <t>2023OB105692</t>
  </si>
  <si>
    <t>11937-7</t>
  </si>
  <si>
    <t>2023NE000105</t>
  </si>
  <si>
    <t>2023OB104960</t>
  </si>
  <si>
    <t>11938-5</t>
  </si>
  <si>
    <t>2023OB105695</t>
  </si>
  <si>
    <t>2023OB130308</t>
  </si>
  <si>
    <t xml:space="preserve">11938-5 </t>
  </si>
  <si>
    <t>2024OB079394</t>
  </si>
  <si>
    <t>2024OB079396</t>
  </si>
  <si>
    <t>11980-6</t>
  </si>
  <si>
    <t>2024OB080331</t>
  </si>
  <si>
    <t>2023NE000106</t>
  </si>
  <si>
    <t>2024OB004192</t>
  </si>
  <si>
    <t>01000-6</t>
  </si>
  <si>
    <t>TOMADA DE PREÇOS 034/22</t>
  </si>
  <si>
    <t>2022NE000131</t>
  </si>
  <si>
    <t>2022OB093437</t>
  </si>
  <si>
    <t>2022NE000132</t>
  </si>
  <si>
    <t>2022OB108894</t>
  </si>
  <si>
    <t>2022NE000133</t>
  </si>
  <si>
    <t>2022OB117448</t>
  </si>
  <si>
    <t>2022NE000134</t>
  </si>
  <si>
    <t>2023OB006451</t>
  </si>
  <si>
    <t>2023NE000119</t>
  </si>
  <si>
    <t>2023OB019536</t>
  </si>
  <si>
    <t>2023NE000131</t>
  </si>
  <si>
    <t>2023OB019538</t>
  </si>
  <si>
    <t>11940-7</t>
  </si>
  <si>
    <t>2023NE000130</t>
  </si>
  <si>
    <t>2023OB037609</t>
  </si>
  <si>
    <t>2023NE000262</t>
  </si>
  <si>
    <t>2023OB037608</t>
  </si>
  <si>
    <t>12635-7</t>
  </si>
  <si>
    <t>2023NE000263</t>
  </si>
  <si>
    <t>2023OB062201</t>
  </si>
  <si>
    <t>2023NE000300</t>
  </si>
  <si>
    <t>2023OB083328</t>
  </si>
  <si>
    <t>2024NE000020</t>
  </si>
  <si>
    <t>2023OB083332</t>
  </si>
  <si>
    <t>2024NE000021</t>
  </si>
  <si>
    <t>2023OB097358</t>
  </si>
  <si>
    <t>2024NE000099</t>
  </si>
  <si>
    <t>2023OB099195</t>
  </si>
  <si>
    <t>2024NE000140</t>
  </si>
  <si>
    <t>2023OB117478</t>
  </si>
  <si>
    <t>2023OB133469</t>
  </si>
  <si>
    <t>2023OB133926</t>
  </si>
  <si>
    <t>2024OB022551</t>
  </si>
  <si>
    <t>2024OB022674</t>
  </si>
  <si>
    <t>2024OB037792</t>
  </si>
  <si>
    <t>2024OB048365</t>
  </si>
  <si>
    <t>2024OB054528</t>
  </si>
  <si>
    <t>2024OB054531</t>
  </si>
  <si>
    <t>2024OB054533</t>
  </si>
  <si>
    <t>2024OB075408</t>
  </si>
  <si>
    <t>06010043.004208/2021-19</t>
  </si>
  <si>
    <t>2023NE000208</t>
  </si>
  <si>
    <t>2024OB031765</t>
  </si>
  <si>
    <t>2024NE000139</t>
  </si>
  <si>
    <t>2024OB040017</t>
  </si>
  <si>
    <t>2024OB059852</t>
  </si>
  <si>
    <t>01010014.000819/2019-25</t>
  </si>
  <si>
    <t>2023NE000040</t>
  </si>
  <si>
    <t>2023OB054829</t>
  </si>
  <si>
    <t>2023NE000043</t>
  </si>
  <si>
    <t>2023OB077957</t>
  </si>
  <si>
    <t>2024NE000067</t>
  </si>
  <si>
    <t>2023OB099780</t>
  </si>
  <si>
    <t>2024NE000134</t>
  </si>
  <si>
    <t>2023OB129494</t>
  </si>
  <si>
    <t>2023OB133420</t>
  </si>
  <si>
    <t>2024OB025005</t>
  </si>
  <si>
    <t>2024OB051889</t>
  </si>
  <si>
    <t>2024OB060139</t>
  </si>
  <si>
    <t>06010046.000184/2022-71</t>
  </si>
  <si>
    <t>01/01/2023</t>
  </si>
  <si>
    <t>KAMILA CRISTINA PINHEIRO DE ALMEIDA</t>
  </si>
  <si>
    <t>2023NE000020</t>
  </si>
  <si>
    <t>2023OB053203</t>
  </si>
  <si>
    <t>12634-9</t>
  </si>
  <si>
    <t>2024NE000008</t>
  </si>
  <si>
    <t>2023OB084114</t>
  </si>
  <si>
    <t>2023OB085154</t>
  </si>
  <si>
    <t>2023OB089139</t>
  </si>
  <si>
    <t>2023OB103877</t>
  </si>
  <si>
    <t>2023OB118259</t>
  </si>
  <si>
    <t>2023OB124258</t>
  </si>
  <si>
    <t>2023OB133255</t>
  </si>
  <si>
    <t>2024OB017378</t>
  </si>
  <si>
    <t>06010004.001040/2023-18</t>
  </si>
  <si>
    <t>YURI ANDERSON OLIVEIRA DA NOBREGA</t>
  </si>
  <si>
    <t>2023NE000050</t>
  </si>
  <si>
    <t>2023OB051777</t>
  </si>
  <si>
    <t>2023NE000051</t>
  </si>
  <si>
    <t>2023OB054620</t>
  </si>
  <si>
    <t>2023NE000052</t>
  </si>
  <si>
    <t>2023OB054676</t>
  </si>
  <si>
    <t>12942-9</t>
  </si>
  <si>
    <t>2023NE000121</t>
  </si>
  <si>
    <t>2023OB089042</t>
  </si>
  <si>
    <t>2023NE000126</t>
  </si>
  <si>
    <t>2024OB004158</t>
  </si>
  <si>
    <t>2023NE000170</t>
  </si>
  <si>
    <t>2023OB093003</t>
  </si>
  <si>
    <t>2023OB118234</t>
  </si>
  <si>
    <t>06010046.000479/2022-48</t>
  </si>
  <si>
    <t>ARYELLE NARA FORTUNATO ROCHA</t>
  </si>
  <si>
    <t>2022NE000181</t>
  </si>
  <si>
    <t>06010046.000162/2022-10</t>
  </si>
  <si>
    <t>RAFAEL AGGEU LOPES DE MEDEIROS</t>
  </si>
  <si>
    <t>2022NE000140</t>
  </si>
  <si>
    <t>2022OB078870</t>
  </si>
  <si>
    <t>2022NE000141</t>
  </si>
  <si>
    <t>06010012.002572/2022-84</t>
  </si>
  <si>
    <t>2023NE000018</t>
  </si>
  <si>
    <t>2023OB038816</t>
  </si>
  <si>
    <t>06010046.000161/2022-67</t>
  </si>
  <si>
    <t>GABRIEL LUCAS BEZERRA RIBEIRO​</t>
  </si>
  <si>
    <t>2022NE000135</t>
  </si>
  <si>
    <t>2022OB093490</t>
  </si>
  <si>
    <t>2022NE000136</t>
  </si>
  <si>
    <t>2022OB093488</t>
  </si>
  <si>
    <t>06010046.000159/2022-98</t>
  </si>
  <si>
    <t>2022NE000171</t>
  </si>
  <si>
    <t>2023OB002487</t>
  </si>
  <si>
    <t>06010046.000233/2022-76</t>
  </si>
  <si>
    <t>CLAUDIO JOSE MAIA PEREIRA JUNIOR</t>
  </si>
  <si>
    <t>2022NE000201</t>
  </si>
  <si>
    <t>2022OB117967</t>
  </si>
  <si>
    <t xml:space="preserve">12633-0 </t>
  </si>
  <si>
    <t>2022NE000208</t>
  </si>
  <si>
    <t>2022NE000229</t>
  </si>
  <si>
    <t>06010004.001058/2023-10</t>
  </si>
  <si>
    <t>2023NE000048</t>
  </si>
  <si>
    <t>2023OB047737</t>
  </si>
  <si>
    <t>2023NE000267</t>
  </si>
  <si>
    <t>2023OB051832</t>
  </si>
  <si>
    <t>2023OB064885</t>
  </si>
  <si>
    <t>2023OB061714</t>
  </si>
  <si>
    <t>2023OB061716</t>
  </si>
  <si>
    <t>2023OB061717</t>
  </si>
  <si>
    <t>2023OB073313</t>
  </si>
  <si>
    <t>2023OB073315</t>
  </si>
  <si>
    <t>2023OB082470</t>
  </si>
  <si>
    <t>2023OB082471</t>
  </si>
  <si>
    <t>2023OB105779</t>
  </si>
  <si>
    <t>2023OB105781</t>
  </si>
  <si>
    <t>06010046.000036/2021-76</t>
  </si>
  <si>
    <t>TOMADA DE PREÇOS</t>
  </si>
  <si>
    <t>LUCIO FLAVIO CAVALCANTE</t>
  </si>
  <si>
    <t>005915 a 005925</t>
  </si>
  <si>
    <t>2021NE000080</t>
  </si>
  <si>
    <t>2021OB064222</t>
  </si>
  <si>
    <t>12392-7</t>
  </si>
  <si>
    <t>005986</t>
  </si>
  <si>
    <t>2021NE000081</t>
  </si>
  <si>
    <t>2021OB073065</t>
  </si>
  <si>
    <t>006996 e 006997</t>
  </si>
  <si>
    <t>2021NE000082</t>
  </si>
  <si>
    <t>2021OB082264</t>
  </si>
  <si>
    <t>06010046.000956/2020-11</t>
  </si>
  <si>
    <t>2023NE000205</t>
  </si>
  <si>
    <t>2024OB081482</t>
  </si>
  <si>
    <t>2023NE000206</t>
  </si>
  <si>
    <t>06010046.000050/2021-70</t>
  </si>
  <si>
    <t>ANDREZZA KHARLA DA CUNHA PENHA</t>
  </si>
  <si>
    <t>009184</t>
  </si>
  <si>
    <t>2021NE000142</t>
  </si>
  <si>
    <t>2022OB050179</t>
  </si>
  <si>
    <t>009187</t>
  </si>
  <si>
    <t>2022OB051767</t>
  </si>
  <si>
    <t>009188</t>
  </si>
  <si>
    <t>2021NE000140</t>
  </si>
  <si>
    <t>2021OB069999</t>
  </si>
  <si>
    <t>005984 e 005985</t>
  </si>
  <si>
    <t>2021NE000141</t>
  </si>
  <si>
    <t>2021OB069996</t>
  </si>
  <si>
    <t>06010046.000412/2020-41</t>
  </si>
  <si>
    <t>HINDIANE SAIURES ARAUJO DE MEDEIROS</t>
  </si>
  <si>
    <t>2020NE000070</t>
  </si>
  <si>
    <t>2020OB061630</t>
  </si>
  <si>
    <t>2020NE000069</t>
  </si>
  <si>
    <t>2020OB061655</t>
  </si>
  <si>
    <t>2020OB061633</t>
  </si>
  <si>
    <t>2020OB063181</t>
  </si>
  <si>
    <t>06010046.000446/2020-36</t>
  </si>
  <si>
    <t>TERMO DE DISP. LICITAÇAÕ</t>
  </si>
  <si>
    <t>Maria Ozanilda Dantas</t>
  </si>
  <si>
    <t>2020NE000047</t>
  </si>
  <si>
    <t>2020OB019389</t>
  </si>
  <si>
    <t>2020NE000048</t>
  </si>
  <si>
    <t>06010046.000445/2020-91</t>
  </si>
  <si>
    <t>MARGARIDA OZANEIDE DANTAS</t>
  </si>
  <si>
    <t>2020NE000045</t>
  </si>
  <si>
    <t>2020OB024943</t>
  </si>
  <si>
    <t>2020NE000206</t>
  </si>
  <si>
    <t>06010046.000448/2020-25</t>
  </si>
  <si>
    <t>2020NE000046</t>
  </si>
  <si>
    <t>2020OB023388</t>
  </si>
  <si>
    <t>2020NE000214</t>
  </si>
  <si>
    <t>06010012.000658/2020-19</t>
  </si>
  <si>
    <t>DAMASIO PEREIRA DE MELO NETO</t>
  </si>
  <si>
    <t>004057 a 004073</t>
  </si>
  <si>
    <t>2020NE000091</t>
  </si>
  <si>
    <t>2020OB046974</t>
  </si>
  <si>
    <t>2020NE000092</t>
  </si>
  <si>
    <t>2020NE000093</t>
  </si>
  <si>
    <t>2020OB046783</t>
  </si>
  <si>
    <t>2020NE000094</t>
  </si>
  <si>
    <t>2020OB047536</t>
  </si>
  <si>
    <t>2020NE000095</t>
  </si>
  <si>
    <t>2020OB048455</t>
  </si>
  <si>
    <t>MARIA OZANILDA DANTAS</t>
  </si>
  <si>
    <t>2020NE000123</t>
  </si>
  <si>
    <t>JOSÉ LUCIANO ARAÚJO DE LACERDA</t>
  </si>
  <si>
    <t>2020NE000124</t>
  </si>
  <si>
    <t>2020NE000125</t>
  </si>
  <si>
    <t>2020NE000126</t>
  </si>
  <si>
    <t>2020NE000127</t>
  </si>
  <si>
    <t>2020NE000130</t>
  </si>
  <si>
    <t>2020NE000144</t>
  </si>
  <si>
    <t>2020NE000145</t>
  </si>
  <si>
    <t>2020NE000146</t>
  </si>
  <si>
    <t>2020NE000147</t>
  </si>
  <si>
    <t>2020NE000148</t>
  </si>
  <si>
    <t>2020NE000149</t>
  </si>
  <si>
    <t>06010012.000596/2020-37</t>
  </si>
  <si>
    <t>CARLOS WAGNER BACURAU SOARES</t>
  </si>
  <si>
    <t>2020NE000071</t>
  </si>
  <si>
    <t>2020OB051690</t>
  </si>
  <si>
    <t>2020NE000072</t>
  </si>
  <si>
    <t>06010036.000294/2021-71</t>
  </si>
  <si>
    <t>2021NE000099</t>
  </si>
  <si>
    <t>2022OB019184</t>
  </si>
  <si>
    <t>2021NE000100</t>
  </si>
  <si>
    <t>2021NE000101</t>
  </si>
  <si>
    <t>2021NE000102</t>
  </si>
  <si>
    <t>2021NE000103</t>
  </si>
  <si>
    <t>2021NE000104</t>
  </si>
  <si>
    <t>2021OB069638</t>
  </si>
  <si>
    <t>2021OB069637</t>
  </si>
  <si>
    <t>2021OB079563</t>
  </si>
  <si>
    <t>2022OB006814</t>
  </si>
  <si>
    <t>2021OB079570</t>
  </si>
  <si>
    <t>2021OB069644</t>
  </si>
  <si>
    <t>2022OB004610</t>
  </si>
  <si>
    <t>06010036-001011/2022-90</t>
  </si>
  <si>
    <t>JOSÉ CARLOS MELO DE BRITO</t>
  </si>
  <si>
    <t>2023NE000033</t>
  </si>
  <si>
    <t>2024OB016565</t>
  </si>
  <si>
    <t>2023NE000034</t>
  </si>
  <si>
    <t>2024OB016590</t>
  </si>
  <si>
    <t>2023NE000035</t>
  </si>
  <si>
    <t>2024OB016598</t>
  </si>
  <si>
    <t>2023NE000036</t>
  </si>
  <si>
    <t>2024OB016608</t>
  </si>
  <si>
    <t>2023NE000037</t>
  </si>
  <si>
    <t>2024OB016617</t>
  </si>
  <si>
    <t>2023NE000038</t>
  </si>
  <si>
    <t>06010046.000431/2020-78</t>
  </si>
  <si>
    <t>2020NE000037</t>
  </si>
  <si>
    <t>2020OB018319</t>
  </si>
  <si>
    <t>2020NE000038</t>
  </si>
  <si>
    <t>2020OB024786</t>
  </si>
  <si>
    <t>2020OB029082</t>
  </si>
  <si>
    <t>06010046.000411/2020-05</t>
  </si>
  <si>
    <t>JOSE LUCIANO ARAUJO DE LACERDA</t>
  </si>
  <si>
    <t>2020NE000075</t>
  </si>
  <si>
    <t>2020OB050944</t>
  </si>
  <si>
    <t>11979-2</t>
  </si>
  <si>
    <t>2020NE000076</t>
  </si>
  <si>
    <t>2020OB050959</t>
  </si>
  <si>
    <t>2020NE000077</t>
  </si>
  <si>
    <t>2020OB050953</t>
  </si>
  <si>
    <t>2020NE000078</t>
  </si>
  <si>
    <t>2020OB056607</t>
  </si>
  <si>
    <t>2020NE000079</t>
  </si>
  <si>
    <t>2020OB059219</t>
  </si>
  <si>
    <t>2020NE000080</t>
  </si>
  <si>
    <t>2020OB056605</t>
  </si>
  <si>
    <t>2020NE000081</t>
  </si>
  <si>
    <t>2020OB057025</t>
  </si>
  <si>
    <t>2020NE000082</t>
  </si>
  <si>
    <t>2020OB065232</t>
  </si>
  <si>
    <t>2020NE000083</t>
  </si>
  <si>
    <t>2020OB059217</t>
  </si>
  <si>
    <t>2020NE000084</t>
  </si>
  <si>
    <t>2020OB059214</t>
  </si>
  <si>
    <t>2020NE000085</t>
  </si>
  <si>
    <t>2021OB016336</t>
  </si>
  <si>
    <t>2020NE000086</t>
  </si>
  <si>
    <t>2021OB016338</t>
  </si>
  <si>
    <t>2020NE000087</t>
  </si>
  <si>
    <t>2021OB058175</t>
  </si>
  <si>
    <t>2020NE000110</t>
  </si>
  <si>
    <t>2020NE000111</t>
  </si>
  <si>
    <t>06010046.000816/2021-16</t>
  </si>
  <si>
    <t>2022NE000175</t>
  </si>
  <si>
    <t>2023OB004965</t>
  </si>
  <si>
    <t>2022NE000176</t>
  </si>
  <si>
    <t>2023OB024687</t>
  </si>
  <si>
    <t>2022NE000177</t>
  </si>
  <si>
    <t>2023OB009795</t>
  </si>
  <si>
    <t>2022NE000195</t>
  </si>
  <si>
    <t>2022OB113301</t>
  </si>
  <si>
    <t>2022NE000196</t>
  </si>
  <si>
    <t>06010046.000278/2021-60</t>
  </si>
  <si>
    <t>MARCIO DO CARMO DE MORAIS</t>
  </si>
  <si>
    <t>005382 a 005386</t>
  </si>
  <si>
    <t>2021NE000169</t>
  </si>
  <si>
    <t>2021OB083385</t>
  </si>
  <si>
    <t>007601 a 007632</t>
  </si>
  <si>
    <t>2021NE000170</t>
  </si>
  <si>
    <t>2021OB083441</t>
  </si>
  <si>
    <t>009901 a 009965</t>
  </si>
  <si>
    <t>2021NE000171</t>
  </si>
  <si>
    <t>2021OB083389</t>
  </si>
  <si>
    <t>2021NE000172</t>
  </si>
  <si>
    <t>2021OB083394</t>
  </si>
  <si>
    <t>2021NE000173</t>
  </si>
  <si>
    <t>2021OB083396</t>
  </si>
  <si>
    <t>007838</t>
  </si>
  <si>
    <t>2021NE000174</t>
  </si>
  <si>
    <t>2021OB083402</t>
  </si>
  <si>
    <t>2021NE000175</t>
  </si>
  <si>
    <t>2021OB083407</t>
  </si>
  <si>
    <t>007834</t>
  </si>
  <si>
    <t>2021NE000176</t>
  </si>
  <si>
    <t>2022OB008175</t>
  </si>
  <si>
    <t>2021NE000177</t>
  </si>
  <si>
    <t>2022OB009801</t>
  </si>
  <si>
    <t>007831, 007832 e 007833</t>
  </si>
  <si>
    <t>2021NE000178</t>
  </si>
  <si>
    <t>2022OB019802</t>
  </si>
  <si>
    <t>006785 e 006786</t>
  </si>
  <si>
    <t>2021NE000179</t>
  </si>
  <si>
    <t>2022OB021185</t>
  </si>
  <si>
    <t>2021NE000180</t>
  </si>
  <si>
    <t>2022OB021186</t>
  </si>
  <si>
    <t>0010454 a 010457</t>
  </si>
  <si>
    <t>2021NE000181</t>
  </si>
  <si>
    <t>2022OB072563</t>
  </si>
  <si>
    <t>007809</t>
  </si>
  <si>
    <t>2021NE000182</t>
  </si>
  <si>
    <t>007839, 007840 e 007841</t>
  </si>
  <si>
    <t>2021NE000183</t>
  </si>
  <si>
    <t>000177 a 000189</t>
  </si>
  <si>
    <t>2021NE000184</t>
  </si>
  <si>
    <t>2021OB083411</t>
  </si>
  <si>
    <t>007811 a 007830</t>
  </si>
  <si>
    <t>2021NE000185</t>
  </si>
  <si>
    <t>007804 a 007807</t>
  </si>
  <si>
    <t>2021NE000186</t>
  </si>
  <si>
    <t>007808</t>
  </si>
  <si>
    <t>2021NE000187</t>
  </si>
  <si>
    <t>.</t>
  </si>
  <si>
    <t>2021NE000188</t>
  </si>
  <si>
    <t>2021NE000189</t>
  </si>
  <si>
    <t>2021NE000190</t>
  </si>
  <si>
    <t>2021NE000191</t>
  </si>
  <si>
    <t>2021NE000192</t>
  </si>
  <si>
    <t>2021NE000193</t>
  </si>
  <si>
    <t>2021NE000194</t>
  </si>
  <si>
    <t>2021NE000195</t>
  </si>
  <si>
    <t>02210001004332/2022-91</t>
  </si>
  <si>
    <t>PARADO</t>
  </si>
  <si>
    <t>06010046.000823/2021-18</t>
  </si>
  <si>
    <t>001736 A 001739</t>
  </si>
  <si>
    <t>2022NE000068</t>
  </si>
  <si>
    <t>2022OB079020</t>
  </si>
  <si>
    <t>2022NE000069</t>
  </si>
  <si>
    <t>2023OB006768</t>
  </si>
  <si>
    <t>008647 E 010450</t>
  </si>
  <si>
    <t>06010046.000415/2020-85</t>
  </si>
  <si>
    <t>ALBERTINO KENNEDY NAZÁRIO DA SILVA</t>
  </si>
  <si>
    <t>2020NE000165</t>
  </si>
  <si>
    <t>2021OB006587</t>
  </si>
  <si>
    <t>2020NE000169</t>
  </si>
  <si>
    <t>2021OB006611</t>
  </si>
  <si>
    <t>2020NE000171</t>
  </si>
  <si>
    <t>2021OB009227</t>
  </si>
  <si>
    <t>2021OB009214</t>
  </si>
  <si>
    <t>2021OB009217</t>
  </si>
  <si>
    <t>2021OB020139</t>
  </si>
  <si>
    <t>2021OB036594</t>
  </si>
  <si>
    <t>06010046.000413/2020-96</t>
  </si>
  <si>
    <t>2020NE000057</t>
  </si>
  <si>
    <t>2020OB023628</t>
  </si>
  <si>
    <t>2020NE000058</t>
  </si>
  <si>
    <t>003965 a 003985</t>
  </si>
  <si>
    <t>2020OB034068</t>
  </si>
  <si>
    <t>06010046.000026/2020-50</t>
  </si>
  <si>
    <t>SYLVIO FLÁVIO DE LIMA MARTINS</t>
  </si>
  <si>
    <t>005766 a 005769</t>
  </si>
  <si>
    <t>2021NE000008</t>
  </si>
  <si>
    <t>2021OB039301</t>
  </si>
  <si>
    <t>005762 a 005765</t>
  </si>
  <si>
    <t>2021NE000009</t>
  </si>
  <si>
    <t>2021OB050274</t>
  </si>
  <si>
    <t>005751 a 005754</t>
  </si>
  <si>
    <t>2021NE000010</t>
  </si>
  <si>
    <t>2021OB050276</t>
  </si>
  <si>
    <t>005750</t>
  </si>
  <si>
    <t>2021NE000011</t>
  </si>
  <si>
    <t>2021OB050277</t>
  </si>
  <si>
    <t>005858 e 005859</t>
  </si>
  <si>
    <t>2021NE000012</t>
  </si>
  <si>
    <t>2021OB050290</t>
  </si>
  <si>
    <t>06010047.002749/2021-64</t>
  </si>
  <si>
    <t>009658</t>
  </si>
  <si>
    <t>2022NE000036</t>
  </si>
  <si>
    <t>2022OB068593</t>
  </si>
  <si>
    <t>06010047.003787/2022-15</t>
  </si>
  <si>
    <t>06010047.000205/2023-20</t>
  </si>
  <si>
    <t>009795 E 009789</t>
  </si>
  <si>
    <t>2023NE000042</t>
  </si>
  <si>
    <t>2023OB037903</t>
  </si>
  <si>
    <t>06010046.000017/2022-21</t>
  </si>
  <si>
    <t>VILMA DE FIGUEIREDO OLIVEIRA PAIXAO</t>
  </si>
  <si>
    <t>010351 a 010355</t>
  </si>
  <si>
    <t>2022NE000154</t>
  </si>
  <si>
    <t>2022OB085122</t>
  </si>
  <si>
    <t>2022NE000155</t>
  </si>
  <si>
    <t>2022OB099508</t>
  </si>
  <si>
    <t>2022NE000157</t>
  </si>
  <si>
    <t>2022OB100277</t>
  </si>
  <si>
    <t>06010043.005226/2020-29</t>
  </si>
  <si>
    <t>Marcel Mousinho Montenegro</t>
  </si>
  <si>
    <t>2021NE000020</t>
  </si>
  <si>
    <t>2021OB059202</t>
  </si>
  <si>
    <t xml:space="preserve">11939-3 </t>
  </si>
  <si>
    <t>2021NE000197</t>
  </si>
  <si>
    <t>2021OB059205</t>
  </si>
  <si>
    <t>2021NE000198</t>
  </si>
  <si>
    <t>2021OB059206</t>
  </si>
  <si>
    <t>2021NE000199</t>
  </si>
  <si>
    <t>2021OB059210</t>
  </si>
  <si>
    <t>2022NE000037</t>
  </si>
  <si>
    <t>2021OB089076</t>
  </si>
  <si>
    <t>2022OB038543</t>
  </si>
  <si>
    <t>2022OB038547</t>
  </si>
  <si>
    <t>2022OB038553</t>
  </si>
  <si>
    <t>02210001.004332/2022-91</t>
  </si>
  <si>
    <t>01010009.001843/2019-51</t>
  </si>
  <si>
    <t>José Carlos de Lima</t>
  </si>
  <si>
    <t>2019NE000074</t>
  </si>
  <si>
    <t>2019OB065518</t>
  </si>
  <si>
    <t>Rutém de Oliveira Marcolino</t>
  </si>
  <si>
    <t>Plácido Saboia Ribeiro Filho</t>
  </si>
  <si>
    <t>06010012.002316/2019-91</t>
  </si>
  <si>
    <t>GMAEL DE MEDEIROS GUEDES</t>
  </si>
  <si>
    <t>004251</t>
  </si>
  <si>
    <t>2020NE000031</t>
  </si>
  <si>
    <t>2020OB068120</t>
  </si>
  <si>
    <t>06010012.001790/2019-04</t>
  </si>
  <si>
    <t>RAUL LEITE DA SILVA ARANHA</t>
  </si>
  <si>
    <t>004723 a 004726</t>
  </si>
  <si>
    <t>2020NE000028</t>
  </si>
  <si>
    <t>2020OB066526</t>
  </si>
  <si>
    <t>06010035.000920/2021-30</t>
  </si>
  <si>
    <t>RAUL LEITE DA SILVA ARANHA​</t>
  </si>
  <si>
    <t>006722 e 006723</t>
  </si>
  <si>
    <t>2021NE000125</t>
  </si>
  <si>
    <t>2021OB063655</t>
  </si>
  <si>
    <t>003746 e 003747</t>
  </si>
  <si>
    <t>2021NE000126</t>
  </si>
  <si>
    <t>2021OB069311</t>
  </si>
  <si>
    <t>00506 a 005910</t>
  </si>
  <si>
    <t>2021NE000127</t>
  </si>
  <si>
    <t>2021OB069285</t>
  </si>
  <si>
    <t>007267 a 007274</t>
  </si>
  <si>
    <t>2021NE000128</t>
  </si>
  <si>
    <t>2021OB072695</t>
  </si>
  <si>
    <t>007891, 0079892, 007897 e 007898</t>
  </si>
  <si>
    <t>2021NE000129</t>
  </si>
  <si>
    <t>2022OB008188</t>
  </si>
  <si>
    <t>000116, 000117 e 000118</t>
  </si>
  <si>
    <t>2021NE000130</t>
  </si>
  <si>
    <t>2022OB008185</t>
  </si>
  <si>
    <t>2021NE000131</t>
  </si>
  <si>
    <t>007765 e 007766</t>
  </si>
  <si>
    <t>2021NE000132</t>
  </si>
  <si>
    <t>2022OB039413</t>
  </si>
  <si>
    <t>008445 a 008450</t>
  </si>
  <si>
    <t>2021NE000133</t>
  </si>
  <si>
    <t>2022OB047745</t>
  </si>
  <si>
    <t>2021NE000134</t>
  </si>
  <si>
    <t>2021NE000135</t>
  </si>
  <si>
    <t>2021NE000136</t>
  </si>
  <si>
    <t>2021NE000137</t>
  </si>
  <si>
    <t>2021NE000138</t>
  </si>
  <si>
    <t>2021NE000139</t>
  </si>
  <si>
    <t>06010046.001528/2022-60</t>
  </si>
  <si>
    <t>06010043.000052/2024-31</t>
  </si>
  <si>
    <t>06010043.001119/2024-55</t>
  </si>
  <si>
    <t>01010010.000462/2018-34</t>
  </si>
  <si>
    <t>2018NE000073</t>
  </si>
  <si>
    <t>2018OB069549</t>
  </si>
  <si>
    <t>11632-7</t>
  </si>
  <si>
    <t>2018OB069551</t>
  </si>
  <si>
    <t>01010010.000467/2018-67</t>
  </si>
  <si>
    <t>2018NE000044</t>
  </si>
  <si>
    <t>2018OB59085</t>
  </si>
  <si>
    <t>01010010.002172/2018-25</t>
  </si>
  <si>
    <t>002836 a 002845</t>
  </si>
  <si>
    <t>2019NE000090</t>
  </si>
  <si>
    <t>2019OB065504</t>
  </si>
  <si>
    <t>2019NE000091</t>
  </si>
  <si>
    <t>01010010.001935/2018-11</t>
  </si>
  <si>
    <t>2019NE000037</t>
  </si>
  <si>
    <t>2019OB064465</t>
  </si>
  <si>
    <t>2019NE000048</t>
  </si>
  <si>
    <t>2019OB064466</t>
  </si>
  <si>
    <t>2020NE000039</t>
  </si>
  <si>
    <t>2020OB001734</t>
  </si>
  <si>
    <t>2020NE000059</t>
  </si>
  <si>
    <t>2020NE000107</t>
  </si>
  <si>
    <t>2020OB019437</t>
  </si>
  <si>
    <t>2020OB019441</t>
  </si>
  <si>
    <t>2020OB019445</t>
  </si>
  <si>
    <t>2020OB019450</t>
  </si>
  <si>
    <t>2020OB032894</t>
  </si>
  <si>
    <t>2020OB032895</t>
  </si>
  <si>
    <t>2021OB025456</t>
  </si>
  <si>
    <t>2021OB025459</t>
  </si>
  <si>
    <t>2021OB025461</t>
  </si>
  <si>
    <t>01010046.000392/2018-15</t>
  </si>
  <si>
    <t>ALCINEIA RODRIGUES DOS SANTOS</t>
  </si>
  <si>
    <t>2019NE000070</t>
  </si>
  <si>
    <t>2019OB064022</t>
  </si>
  <si>
    <t>2020NE000138</t>
  </si>
  <si>
    <t>2019OB067259</t>
  </si>
  <si>
    <t>2020OB027407</t>
  </si>
  <si>
    <t>06010004.002766/2021-06</t>
  </si>
  <si>
    <t>2022NE000182</t>
  </si>
  <si>
    <t>2023OB050532</t>
  </si>
  <si>
    <t>JOSÉ THIAGO BARBOSA GAIÃO</t>
  </si>
  <si>
    <t>06010036.000225/2022-49</t>
  </si>
  <si>
    <t>THIAGO MIRANDA DE SOUZA</t>
  </si>
  <si>
    <t>2022NE000170</t>
  </si>
  <si>
    <t>2023OB047267</t>
  </si>
  <si>
    <t>2023OB047265</t>
  </si>
  <si>
    <t xml:space="preserve"> </t>
  </si>
  <si>
    <t>2023OB047266</t>
  </si>
  <si>
    <t>2023OB061331</t>
  </si>
  <si>
    <t>2023OB061335</t>
  </si>
  <si>
    <t>01010009.002363/2019-15</t>
  </si>
  <si>
    <t>JOSÉ CARLOS DE LIMA</t>
  </si>
  <si>
    <t>2020NE000026</t>
  </si>
  <si>
    <t>2020OB036753</t>
  </si>
  <si>
    <t>2020NE000030</t>
  </si>
  <si>
    <t>2020OB036756</t>
  </si>
  <si>
    <t>2020OB062288</t>
  </si>
  <si>
    <t>01010010.000681/2018-13</t>
  </si>
  <si>
    <t>2018NE000082</t>
  </si>
  <si>
    <t>2019OB039660</t>
  </si>
  <si>
    <t>2019NE000064</t>
  </si>
  <si>
    <t>06010046.000683/2021-88</t>
  </si>
  <si>
    <t>RAFAELA PEREIRA GURGEL SILVA DE MELLO</t>
  </si>
  <si>
    <t>001704 A 001709</t>
  </si>
  <si>
    <t>2022NE000100</t>
  </si>
  <si>
    <t>2022OB078203</t>
  </si>
  <si>
    <t>001716</t>
  </si>
  <si>
    <t>2022NE000101</t>
  </si>
  <si>
    <t>2022OB078204</t>
  </si>
  <si>
    <t>01010009.002324/2018-29</t>
  </si>
  <si>
    <t>RUTEM DE OLIVEIRA MARCOLINO</t>
  </si>
  <si>
    <t>2019NE0000009</t>
  </si>
  <si>
    <t>2019OB033849</t>
  </si>
  <si>
    <t>01010046.001497/2018-83</t>
  </si>
  <si>
    <t>LUCIANO CAVALCANTI XAVIER</t>
  </si>
  <si>
    <t>2019NE0000018</t>
  </si>
  <si>
    <t>2019OB018557</t>
  </si>
  <si>
    <t>11935-0</t>
  </si>
  <si>
    <t>VICTOR HUGO GOMES E SOUZA BRAZ</t>
  </si>
  <si>
    <t>2019NE0000038</t>
  </si>
  <si>
    <t>2019OB032541</t>
  </si>
  <si>
    <t>2019NE0000005</t>
  </si>
  <si>
    <t>2019OB034769</t>
  </si>
  <si>
    <t>2019NE0000006</t>
  </si>
  <si>
    <t>2019OB034772</t>
  </si>
  <si>
    <t>2019OB038320</t>
  </si>
  <si>
    <t>2019OB043831</t>
  </si>
  <si>
    <t>2019OB043868</t>
  </si>
  <si>
    <t>2019OB051216</t>
  </si>
  <si>
    <t>2019OB068046</t>
  </si>
  <si>
    <t>2020OB005174</t>
  </si>
  <si>
    <t>2020OB011611</t>
  </si>
  <si>
    <t>2020OB031120</t>
  </si>
  <si>
    <t>02210300.000152/2020-01</t>
  </si>
  <si>
    <t>Rodrigo Cruz Revoredo Marques</t>
  </si>
  <si>
    <t>2021NE000007</t>
  </si>
  <si>
    <t>2021OB030623</t>
  </si>
  <si>
    <t>2021NE000074</t>
  </si>
  <si>
    <t>2021OB046344</t>
  </si>
  <si>
    <t>2021NE000167</t>
  </si>
  <si>
    <t>2022OB021101</t>
  </si>
  <si>
    <t>2022NE000251</t>
  </si>
  <si>
    <t>2022OB084104</t>
  </si>
  <si>
    <t>2022OB119724</t>
  </si>
  <si>
    <t>2023OB004805</t>
  </si>
  <si>
    <t>01010009.002712/2018-18</t>
  </si>
  <si>
    <t>2019NE000020</t>
  </si>
  <si>
    <t>2019NE000086</t>
  </si>
  <si>
    <t>2020OB001798</t>
  </si>
  <si>
    <t>01010009.002709/2018-96</t>
  </si>
  <si>
    <t>00001 a 00072</t>
  </si>
  <si>
    <t>2019NE000028</t>
  </si>
  <si>
    <t>2019OB051007</t>
  </si>
  <si>
    <t>11936-9</t>
  </si>
  <si>
    <t>002836 A 002845</t>
  </si>
  <si>
    <t>01010009.001990/2019-21</t>
  </si>
  <si>
    <t>1024 A 1093</t>
  </si>
  <si>
    <t>2019NE000034</t>
  </si>
  <si>
    <t>2019OB051549</t>
  </si>
  <si>
    <t>01010009.001840/2019-17</t>
  </si>
  <si>
    <t>IVO FREIRE DOS SANTOS ROCHA</t>
  </si>
  <si>
    <t>004225</t>
  </si>
  <si>
    <t>2020NE000033</t>
  </si>
  <si>
    <t>2020OB053430</t>
  </si>
  <si>
    <t>004226 a 004228</t>
  </si>
  <si>
    <t>128526/2017-2</t>
  </si>
  <si>
    <t>2017NE00141</t>
  </si>
  <si>
    <t>2014NE00121</t>
  </si>
  <si>
    <t>2018NE000012</t>
  </si>
  <si>
    <t>2019NE000040</t>
  </si>
  <si>
    <t>2019NE000060</t>
  </si>
  <si>
    <t>2019NE000023</t>
  </si>
  <si>
    <t>2018OB020283</t>
  </si>
  <si>
    <t>2020NE000025</t>
  </si>
  <si>
    <t>2018OB036914</t>
  </si>
  <si>
    <t>2020NE000053</t>
  </si>
  <si>
    <t>2018OB040606</t>
  </si>
  <si>
    <t>2019OB004418</t>
  </si>
  <si>
    <t>2019OB018797</t>
  </si>
  <si>
    <t>2019OB019043</t>
  </si>
  <si>
    <t>2019OB044994</t>
  </si>
  <si>
    <t>2019OB044997</t>
  </si>
  <si>
    <t>2019OB045929</t>
  </si>
  <si>
    <t>2019OB062122</t>
  </si>
  <si>
    <t>2020OB002501</t>
  </si>
  <si>
    <t>2020OB018377</t>
  </si>
  <si>
    <t>2020OB023839</t>
  </si>
  <si>
    <t>2020OB043050</t>
  </si>
  <si>
    <t>06010046.001489/2024-62</t>
  </si>
  <si>
    <t>2017NE00061</t>
  </si>
  <si>
    <t>2017OB06570</t>
  </si>
  <si>
    <t>11515-0</t>
  </si>
  <si>
    <t>2017NE00076</t>
  </si>
  <si>
    <t>2017OB09250</t>
  </si>
  <si>
    <t>06010046.001490/2024-97</t>
  </si>
  <si>
    <t>2017NE00079</t>
  </si>
  <si>
    <t>2017OB03522</t>
  </si>
  <si>
    <t>11.937-7</t>
  </si>
  <si>
    <t>06010046.001491/2024-31</t>
  </si>
  <si>
    <t>2018NE000001</t>
  </si>
  <si>
    <t>2018OB14353</t>
  </si>
  <si>
    <t>06010046.001501/2024-39</t>
  </si>
  <si>
    <t>LÚCIO FLÁVIO CAVALCANTE</t>
  </si>
  <si>
    <t>2018NE000002</t>
  </si>
  <si>
    <t>2018OB056380</t>
  </si>
  <si>
    <t>11516-9</t>
  </si>
  <si>
    <t>2018NE000003</t>
  </si>
  <si>
    <t>06010046.001502/2024-83</t>
  </si>
  <si>
    <t>2017NE00091</t>
  </si>
  <si>
    <t>2017OB06583</t>
  </si>
  <si>
    <t>06010046.001504/2024-72</t>
  </si>
  <si>
    <t>2017NE00092</t>
  </si>
  <si>
    <t>2017OB06569</t>
  </si>
  <si>
    <t>06010046.001506/2024-61</t>
  </si>
  <si>
    <t>2018NE00015</t>
  </si>
  <si>
    <t>2018OB033554</t>
  </si>
  <si>
    <t>ANO FAF</t>
  </si>
  <si>
    <t>01/01/2022</t>
  </si>
  <si>
    <t>01/01/2017</t>
  </si>
  <si>
    <t>01/01/2021</t>
  </si>
  <si>
    <t>01/01/2016</t>
  </si>
  <si>
    <t>01/01/2018</t>
  </si>
  <si>
    <t>01/01/2019</t>
  </si>
  <si>
    <t>01/01/2020</t>
  </si>
  <si>
    <t>2024OB076842</t>
  </si>
  <si>
    <t>2024OB096519</t>
  </si>
  <si>
    <t>2024OB082974</t>
  </si>
  <si>
    <t>2024OB096469</t>
  </si>
  <si>
    <t>2024OB137223</t>
  </si>
  <si>
    <t>2024OB080332</t>
  </si>
  <si>
    <t>2024OB090214</t>
  </si>
  <si>
    <t>2024OB104393</t>
  </si>
  <si>
    <t>2024OB137197</t>
  </si>
  <si>
    <t>2024OB147860</t>
  </si>
  <si>
    <t>2024OB130822</t>
  </si>
  <si>
    <t>2024OB137242</t>
  </si>
  <si>
    <t>12633-0</t>
  </si>
  <si>
    <t>2024NE000043</t>
  </si>
  <si>
    <t>2025OB022952</t>
  </si>
  <si>
    <t>2025OB017397</t>
  </si>
  <si>
    <t>2023OB046012</t>
  </si>
  <si>
    <t>2023OB053954</t>
  </si>
  <si>
    <t>2023OB063942</t>
  </si>
  <si>
    <t>2023OB078704</t>
  </si>
  <si>
    <t>2023OB079946</t>
  </si>
  <si>
    <t>2023OB099193</t>
  </si>
  <si>
    <t>2023OB113106</t>
  </si>
  <si>
    <t>2023OB128191</t>
  </si>
  <si>
    <t>2023OB135983</t>
  </si>
  <si>
    <t>2023NE000151</t>
  </si>
  <si>
    <t>2023NE000107</t>
  </si>
  <si>
    <t>2024OB028086</t>
  </si>
  <si>
    <t>2024NE000135</t>
  </si>
  <si>
    <t>2024NE000122</t>
  </si>
  <si>
    <t>2025OB017438</t>
  </si>
  <si>
    <t>2025OB017440</t>
  </si>
  <si>
    <t>2025OB018586</t>
  </si>
  <si>
    <t>2025OB025226</t>
  </si>
  <si>
    <t>2025OB017443</t>
  </si>
  <si>
    <t>2025OB059670</t>
  </si>
  <si>
    <t>2025OB070489</t>
  </si>
  <si>
    <t>2025OB118527</t>
  </si>
  <si>
    <t>2025NE000132</t>
  </si>
  <si>
    <t>2025OB127750</t>
  </si>
  <si>
    <t>2025OB130975</t>
  </si>
  <si>
    <t>2025NE000219</t>
  </si>
  <si>
    <t>2025OB118528</t>
  </si>
  <si>
    <t>2025OB143800</t>
  </si>
  <si>
    <t>2025OB145581</t>
  </si>
  <si>
    <t>2026OB005260</t>
  </si>
  <si>
    <t>2025NE000314</t>
  </si>
  <si>
    <t>2026OB024571</t>
  </si>
  <si>
    <t>2026OB024573</t>
  </si>
  <si>
    <t>2025OB018581</t>
  </si>
  <si>
    <t>2025OB018862</t>
  </si>
  <si>
    <t>2024OB081475</t>
  </si>
  <si>
    <t>2024NE000030</t>
  </si>
  <si>
    <t>2025OB018587</t>
  </si>
  <si>
    <t>1000-6</t>
  </si>
  <si>
    <t>2025OB018853</t>
  </si>
  <si>
    <t>2025OB018858</t>
  </si>
  <si>
    <t>2024OB104395</t>
  </si>
  <si>
    <t>2025OB017376</t>
  </si>
  <si>
    <t>2025OB017434</t>
  </si>
  <si>
    <t>2025OB052213</t>
  </si>
  <si>
    <t>2025OB070473</t>
  </si>
  <si>
    <t>2025OB042715</t>
  </si>
  <si>
    <t>2025OB042717</t>
  </si>
  <si>
    <t>2025OB080598</t>
  </si>
  <si>
    <t>2025OB136140</t>
  </si>
  <si>
    <t>06010043.001120/2024-80</t>
  </si>
  <si>
    <t>2025NE000333</t>
  </si>
  <si>
    <t>2025OB145355</t>
  </si>
  <si>
    <t>2025NE000255</t>
  </si>
  <si>
    <t>11943-3</t>
  </si>
  <si>
    <t>06010012.001022/2024-18</t>
  </si>
  <si>
    <t>Pregão Eletrônico nº 90005/2024</t>
  </si>
  <si>
    <t>ANA PAULA DE ALMEIDA SANTOS</t>
  </si>
  <si>
    <t>ARLINGTON RAFAEL DA FONSECA PEREIRA DANTAS</t>
  </si>
  <si>
    <t>CONCORRÊNCIA ELETRÔNICA N° 90027/2025</t>
  </si>
  <si>
    <t>2025NE000058</t>
  </si>
  <si>
    <t>2025NE000059</t>
  </si>
  <si>
    <t>2025OB120681</t>
  </si>
  <si>
    <t>2025OB120689</t>
  </si>
  <si>
    <t>2025OB120693</t>
  </si>
  <si>
    <t>2025OB120697</t>
  </si>
  <si>
    <t>2025OB121291</t>
  </si>
  <si>
    <t>2025OB121292</t>
  </si>
  <si>
    <t>2025OB144679</t>
  </si>
  <si>
    <t>2025OB144683</t>
  </si>
  <si>
    <t>2025NE000060</t>
  </si>
  <si>
    <t>2025OB145433</t>
  </si>
  <si>
    <t>06010043.003217/2021-84</t>
  </si>
  <si>
    <t>06010043.002222/2021-70</t>
  </si>
  <si>
    <t>TOMADA DE PREÇOS nº 028/2021 – SIN/RN</t>
  </si>
  <si>
    <t>2022NE000032</t>
  </si>
  <si>
    <t>2022OB042466</t>
  </si>
  <si>
    <t>2022OB074161</t>
  </si>
  <si>
    <t>2023OB051367</t>
  </si>
  <si>
    <t>2023OB073131</t>
  </si>
  <si>
    <t>2023NE000101</t>
  </si>
  <si>
    <t>2022OB002832</t>
  </si>
  <si>
    <t>2021NE000156</t>
  </si>
  <si>
    <t>2021NE000157</t>
  </si>
  <si>
    <t>2021NE000158</t>
  </si>
  <si>
    <t>2021NE000159</t>
  </si>
  <si>
    <t>2021NE000160</t>
  </si>
  <si>
    <t>2021NE000161</t>
  </si>
  <si>
    <t>2021NE000162</t>
  </si>
  <si>
    <t>2021NE000163</t>
  </si>
  <si>
    <t>2021NE000164</t>
  </si>
  <si>
    <t>2021NE000165</t>
  </si>
  <si>
    <t>2021NE000166</t>
  </si>
  <si>
    <t>2021NE000168</t>
  </si>
  <si>
    <t>06010046.000969/2020-82</t>
  </si>
  <si>
    <t>Pregão Eletrônico nº 004/2021</t>
  </si>
  <si>
    <t>2023OB026640</t>
  </si>
  <si>
    <t>11934-2</t>
  </si>
  <si>
    <t>2023OB025669</t>
  </si>
  <si>
    <t>06010035.004548/2024-83</t>
  </si>
  <si>
    <t>Pregão Eletrônico nº 90005/2025</t>
  </si>
  <si>
    <t>32/2025</t>
  </si>
  <si>
    <t>33/2025</t>
  </si>
  <si>
    <t>2026OB013291</t>
  </si>
  <si>
    <t>2026OB013297</t>
  </si>
  <si>
    <t>2022OB106661</t>
  </si>
  <si>
    <t>2025OB008320</t>
  </si>
  <si>
    <t>2025OB039337</t>
  </si>
  <si>
    <t>2025OB039338</t>
  </si>
  <si>
    <t>2025OB059564</t>
  </si>
  <si>
    <t>2025OB059567</t>
  </si>
  <si>
    <t>2025OB075320</t>
  </si>
  <si>
    <t>2025OB083854</t>
  </si>
  <si>
    <t>2025OB093110</t>
  </si>
  <si>
    <t xml:space="preserve">2025OB101932 </t>
  </si>
  <si>
    <t>2025OB018580</t>
  </si>
  <si>
    <t>2025OB083876</t>
  </si>
  <si>
    <t xml:space="preserve">2025OB083878 </t>
  </si>
  <si>
    <t xml:space="preserve">2025OB094349 </t>
  </si>
  <si>
    <t>2025OB108377</t>
  </si>
  <si>
    <t xml:space="preserve">2025OB075320 </t>
  </si>
  <si>
    <t xml:space="preserve">2025OB132030 </t>
  </si>
  <si>
    <t>2025OB145600</t>
  </si>
  <si>
    <t>2025OB145602</t>
  </si>
  <si>
    <t>2025OB145607</t>
  </si>
  <si>
    <t xml:space="preserve">13344-2 </t>
  </si>
  <si>
    <t>13344-2</t>
  </si>
  <si>
    <t>06010046.000186/2022-61</t>
  </si>
  <si>
    <t>2º Termo Aditivo ao contrato nº 046/2023</t>
  </si>
  <si>
    <t>Conta</t>
  </si>
  <si>
    <t>Ano</t>
  </si>
  <si>
    <t>Modalidade</t>
  </si>
  <si>
    <t>FAF 2016</t>
  </si>
  <si>
    <t>CUSTEIO</t>
  </si>
  <si>
    <t>OBRAS</t>
  </si>
  <si>
    <t>CAPITAL</t>
  </si>
  <si>
    <t>FAF 2017</t>
  </si>
  <si>
    <t>OBRAS + CAPITAL</t>
  </si>
  <si>
    <t>FAF 2018</t>
  </si>
  <si>
    <t>FAF 2019</t>
  </si>
  <si>
    <t>FAF 2020</t>
  </si>
  <si>
    <t>FAF 2021</t>
  </si>
  <si>
    <t>FAF 2022</t>
  </si>
  <si>
    <t>13259-4</t>
  </si>
  <si>
    <t>FAF 2023</t>
  </si>
  <si>
    <t>FONTE 500</t>
  </si>
  <si>
    <t>RECURSO ORDINÁRIO ESTADUAL</t>
  </si>
  <si>
    <t>FONTE 100</t>
  </si>
  <si>
    <t>13.344-2</t>
  </si>
  <si>
    <t>13.670-0</t>
  </si>
  <si>
    <t>14.724-9</t>
  </si>
  <si>
    <t>14.723-0</t>
  </si>
  <si>
    <t>15.046-0</t>
  </si>
  <si>
    <t>FAF 2023 Voluntário</t>
  </si>
  <si>
    <t>FAF 2025</t>
  </si>
  <si>
    <t>FAF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</si>
</sst>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164" formatCode="_-&quot;R$&quot;\ * #,##0.00_-;\-&quot;R$&quot;\ * #,##0.00_-;_-&quot;R$&quot;\ * &quot;-&quot;??_-;_-@"/>
    <numFmt numFmtId="165" formatCode="&quot;R$&quot;\ #,##0.00"/>
  </numFmts>
  <fonts count="2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</font>
    <font>
      <sz val="11"/>
      <name val="Calibri"/>
    </font>
    <font>
      <sz val="11"/>
      <color theme="1"/>
      <name val="Calibri"/>
    </font>
    <font>
      <sz val="12"/>
      <color rgb="FF000000"/>
      <name val="Calibri"/>
    </font>
    <font>
      <b/>
      <sz val="12"/>
      <color rgb="FF000000"/>
      <name val="Calibri"/>
    </font>
    <font>
      <sz val="11"/>
      <color theme="1"/>
      <name val="Calibri"/>
      <scheme val="minor"/>
    </font>
    <font>
      <sz val="12"/>
      <color theme="1"/>
      <name val="Calibri"/>
    </font>
    <font>
      <sz val="11"/>
      <color theme="1"/>
      <name val="Arial"/>
    </font>
    <font>
      <u/>
      <sz val="11"/>
      <color theme="1"/>
      <name val="Calibri"/>
    </font>
    <font>
      <sz val="11"/>
      <color theme="1"/>
      <name val="Calibri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color rgb="FF434343"/>
      <name val="Roboto"/>
    </font>
    <font>
      <b/>
      <sz val="11"/>
      <color rgb="FF000000"/>
      <name val="Calibri"/>
      <family val="2"/>
      <scheme val="minor"/>
    </font>
    <font>
      <b/>
      <sz val="12"/>
      <color theme="1"/>
      <name val="Arial"/>
      <family val="2"/>
    </font>
    <font>
      <sz val="10"/>
      <color rgb="FF000000"/>
      <name val="Roboto"/>
    </font>
  </fonts>
  <fills count="13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FFFFF"/>
        <bgColor indexed="64"/>
      </patternFill>
    </fill>
  </fills>
  <borders count="5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00000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theme="0"/>
      </right>
      <top/>
      <bottom style="thin">
        <color rgb="FF000000"/>
      </bottom>
      <diagonal/>
    </border>
    <border>
      <left style="thin">
        <color theme="0"/>
      </left>
      <right style="thin">
        <color theme="0"/>
      </right>
      <top/>
      <bottom style="thin">
        <color rgb="FF000000"/>
      </bottom>
      <diagonal/>
    </border>
    <border>
      <left style="thin">
        <color theme="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  <diagonal/>
    </border>
    <border>
      <left/>
      <right style="thin">
        <color rgb="FFD0CECE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D0CECE"/>
      </left>
      <right style="thin">
        <color rgb="FFD0CECE"/>
      </right>
      <top style="thin">
        <color rgb="FFD0CECE"/>
      </top>
      <bottom/>
      <diagonal/>
    </border>
    <border>
      <left style="thin">
        <color rgb="FFD0CECE"/>
      </left>
      <right style="thin">
        <color rgb="FFD0CECE"/>
      </right>
      <top/>
      <bottom/>
      <diagonal/>
    </border>
    <border>
      <left style="thin">
        <color rgb="FFD0CECE"/>
      </left>
      <right style="thin">
        <color rgb="FFD0CECE"/>
      </right>
      <top/>
      <bottom style="thin">
        <color rgb="FFD0CECE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 style="thin">
        <color theme="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EFEFEF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292F50"/>
      </bottom>
      <diagonal/>
    </border>
  </borders>
  <cellStyleXfs count="2">
    <xf numFmtId="0" fontId="0" fillId="0" borderId="0"/>
    <xf numFmtId="44" fontId="9" fillId="0" borderId="0" applyFont="0" applyFill="0" applyBorder="0" applyAlignment="0" applyProtection="0"/>
  </cellStyleXfs>
  <cellXfs count="377">
    <xf numFmtId="0" fontId="0" fillId="0" borderId="0" xfId="0"/>
    <xf numFmtId="0" fontId="4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164" fontId="4" fillId="3" borderId="2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164" fontId="4" fillId="3" borderId="2" xfId="0" applyNumberFormat="1" applyFont="1" applyFill="1" applyBorder="1" applyAlignment="1">
      <alignment horizontal="center" vertical="center"/>
    </xf>
    <xf numFmtId="1" fontId="4" fillId="3" borderId="2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/>
    <xf numFmtId="0" fontId="6" fillId="0" borderId="5" xfId="0" applyFont="1" applyBorder="1" applyAlignment="1">
      <alignment horizontal="center" vertical="center"/>
    </xf>
    <xf numFmtId="14" fontId="6" fillId="0" borderId="6" xfId="0" applyNumberFormat="1" applyFont="1" applyBorder="1" applyAlignment="1">
      <alignment horizontal="center" vertical="center"/>
    </xf>
    <xf numFmtId="164" fontId="6" fillId="0" borderId="6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" fontId="6" fillId="0" borderId="6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4" fontId="6" fillId="0" borderId="11" xfId="0" applyNumberFormat="1" applyFont="1" applyBorder="1" applyAlignment="1">
      <alignment horizontal="center" vertical="center"/>
    </xf>
    <xf numFmtId="164" fontId="6" fillId="0" borderId="11" xfId="0" applyNumberFormat="1" applyFont="1" applyBorder="1" applyAlignment="1">
      <alignment horizontal="center" vertical="center"/>
    </xf>
    <xf numFmtId="1" fontId="6" fillId="0" borderId="11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14" fontId="6" fillId="0" borderId="15" xfId="0" applyNumberFormat="1" applyFont="1" applyBorder="1" applyAlignment="1">
      <alignment horizontal="center" vertical="center"/>
    </xf>
    <xf numFmtId="0" fontId="6" fillId="4" borderId="17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64" fontId="6" fillId="0" borderId="0" xfId="0" applyNumberFormat="1" applyFont="1" applyAlignment="1">
      <alignment vertical="center"/>
    </xf>
    <xf numFmtId="0" fontId="6" fillId="4" borderId="22" xfId="0" applyFont="1" applyFill="1" applyBorder="1" applyAlignment="1">
      <alignment horizontal="center" vertical="center"/>
    </xf>
    <xf numFmtId="0" fontId="6" fillId="4" borderId="17" xfId="0" applyFont="1" applyFill="1" applyBorder="1"/>
    <xf numFmtId="0" fontId="8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/>
    <xf numFmtId="0" fontId="6" fillId="0" borderId="0" xfId="0" applyFont="1" applyAlignment="1">
      <alignment horizontal="center"/>
    </xf>
    <xf numFmtId="14" fontId="6" fillId="0" borderId="0" xfId="0" applyNumberFormat="1" applyFont="1" applyAlignment="1">
      <alignment horizontal="center"/>
    </xf>
    <xf numFmtId="164" fontId="6" fillId="0" borderId="0" xfId="0" applyNumberFormat="1" applyFont="1"/>
    <xf numFmtId="0" fontId="6" fillId="0" borderId="21" xfId="0" applyFont="1" applyBorder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6" fillId="4" borderId="22" xfId="0" applyFont="1" applyFill="1" applyBorder="1"/>
    <xf numFmtId="0" fontId="6" fillId="0" borderId="11" xfId="0" applyFont="1" applyBorder="1"/>
    <xf numFmtId="164" fontId="6" fillId="0" borderId="11" xfId="0" applyNumberFormat="1" applyFont="1" applyBorder="1"/>
    <xf numFmtId="1" fontId="6" fillId="0" borderId="11" xfId="0" applyNumberFormat="1" applyFont="1" applyBorder="1"/>
    <xf numFmtId="14" fontId="6" fillId="0" borderId="11" xfId="0" applyNumberFormat="1" applyFont="1" applyBorder="1" applyAlignment="1">
      <alignment horizontal="center"/>
    </xf>
    <xf numFmtId="0" fontId="6" fillId="0" borderId="12" xfId="0" applyFont="1" applyBorder="1"/>
    <xf numFmtId="0" fontId="6" fillId="0" borderId="6" xfId="0" applyFont="1" applyBorder="1"/>
    <xf numFmtId="14" fontId="6" fillId="0" borderId="6" xfId="0" applyNumberFormat="1" applyFont="1" applyBorder="1" applyAlignment="1">
      <alignment horizontal="center"/>
    </xf>
    <xf numFmtId="164" fontId="6" fillId="0" borderId="6" xfId="0" applyNumberFormat="1" applyFont="1" applyBorder="1" applyAlignment="1">
      <alignment horizontal="center"/>
    </xf>
    <xf numFmtId="1" fontId="6" fillId="0" borderId="6" xfId="0" applyNumberFormat="1" applyFont="1" applyBorder="1" applyAlignment="1">
      <alignment horizontal="center"/>
    </xf>
    <xf numFmtId="164" fontId="6" fillId="0" borderId="6" xfId="0" applyNumberFormat="1" applyFont="1" applyBorder="1"/>
    <xf numFmtId="164" fontId="6" fillId="0" borderId="0" xfId="0" applyNumberFormat="1" applyFont="1" applyAlignment="1">
      <alignment horizontal="center"/>
    </xf>
    <xf numFmtId="0" fontId="6" fillId="0" borderId="11" xfId="0" applyFont="1" applyBorder="1" applyAlignment="1">
      <alignment horizontal="center"/>
    </xf>
    <xf numFmtId="1" fontId="6" fillId="0" borderId="6" xfId="0" applyNumberFormat="1" applyFont="1" applyBorder="1"/>
    <xf numFmtId="14" fontId="6" fillId="0" borderId="6" xfId="0" applyNumberFormat="1" applyFont="1" applyBorder="1"/>
    <xf numFmtId="0" fontId="9" fillId="0" borderId="0" xfId="0" applyFont="1"/>
    <xf numFmtId="14" fontId="6" fillId="0" borderId="0" xfId="0" applyNumberFormat="1" applyFont="1"/>
    <xf numFmtId="0" fontId="6" fillId="0" borderId="6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1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right"/>
    </xf>
    <xf numFmtId="14" fontId="6" fillId="0" borderId="0" xfId="0" applyNumberFormat="1" applyFont="1" applyAlignment="1">
      <alignment horizontal="right"/>
    </xf>
    <xf numFmtId="0" fontId="6" fillId="4" borderId="13" xfId="0" applyFont="1" applyFill="1" applyBorder="1" applyAlignment="1">
      <alignment horizontal="center"/>
    </xf>
    <xf numFmtId="0" fontId="6" fillId="4" borderId="14" xfId="0" applyFont="1" applyFill="1" applyBorder="1"/>
    <xf numFmtId="164" fontId="6" fillId="0" borderId="15" xfId="0" applyNumberFormat="1" applyFont="1" applyBorder="1"/>
    <xf numFmtId="14" fontId="6" fillId="0" borderId="15" xfId="0" applyNumberFormat="1" applyFont="1" applyBorder="1"/>
    <xf numFmtId="0" fontId="6" fillId="0" borderId="15" xfId="0" applyFont="1" applyBorder="1"/>
    <xf numFmtId="1" fontId="6" fillId="0" borderId="15" xfId="0" applyNumberFormat="1" applyFont="1" applyBorder="1"/>
    <xf numFmtId="0" fontId="6" fillId="0" borderId="16" xfId="0" applyFont="1" applyBorder="1"/>
    <xf numFmtId="14" fontId="6" fillId="0" borderId="15" xfId="0" applyNumberFormat="1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14" fontId="6" fillId="0" borderId="11" xfId="0" applyNumberFormat="1" applyFont="1" applyBorder="1"/>
    <xf numFmtId="0" fontId="6" fillId="4" borderId="17" xfId="0" applyFont="1" applyFill="1" applyBorder="1" applyAlignment="1">
      <alignment horizontal="center"/>
    </xf>
    <xf numFmtId="49" fontId="6" fillId="0" borderId="6" xfId="0" applyNumberFormat="1" applyFont="1" applyBorder="1"/>
    <xf numFmtId="49" fontId="6" fillId="0" borderId="0" xfId="0" applyNumberFormat="1" applyFont="1"/>
    <xf numFmtId="0" fontId="6" fillId="0" borderId="6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14" fontId="6" fillId="0" borderId="6" xfId="0" applyNumberFormat="1" applyFont="1" applyBorder="1" applyAlignment="1">
      <alignment vertical="center"/>
    </xf>
    <xf numFmtId="49" fontId="6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14" fontId="6" fillId="0" borderId="0" xfId="0" applyNumberFormat="1" applyFont="1" applyAlignment="1">
      <alignment vertical="center"/>
    </xf>
    <xf numFmtId="0" fontId="6" fillId="4" borderId="24" xfId="0" applyFont="1" applyFill="1" applyBorder="1"/>
    <xf numFmtId="0" fontId="7" fillId="0" borderId="0" xfId="0" applyFont="1" applyAlignment="1">
      <alignment horizontal="center"/>
    </xf>
    <xf numFmtId="0" fontId="6" fillId="0" borderId="10" xfId="0" applyFont="1" applyBorder="1" applyAlignment="1">
      <alignment horizontal="center" vertical="center"/>
    </xf>
    <xf numFmtId="14" fontId="6" fillId="0" borderId="11" xfId="0" applyNumberFormat="1" applyFont="1" applyBorder="1" applyAlignment="1">
      <alignment vertical="center"/>
    </xf>
    <xf numFmtId="49" fontId="6" fillId="0" borderId="0" xfId="0" applyNumberFormat="1" applyFont="1" applyAlignment="1">
      <alignment horizontal="right" vertical="center"/>
    </xf>
    <xf numFmtId="0" fontId="6" fillId="4" borderId="25" xfId="0" applyFont="1" applyFill="1" applyBorder="1"/>
    <xf numFmtId="0" fontId="10" fillId="0" borderId="15" xfId="0" applyFont="1" applyBorder="1" applyAlignment="1">
      <alignment horizontal="center" vertical="center"/>
    </xf>
    <xf numFmtId="49" fontId="6" fillId="0" borderId="15" xfId="0" applyNumberFormat="1" applyFont="1" applyBorder="1"/>
    <xf numFmtId="0" fontId="6" fillId="4" borderId="2" xfId="0" applyFont="1" applyFill="1" applyBorder="1"/>
    <xf numFmtId="0" fontId="8" fillId="0" borderId="6" xfId="0" applyFont="1" applyBorder="1"/>
    <xf numFmtId="0" fontId="6" fillId="4" borderId="26" xfId="0" applyFont="1" applyFill="1" applyBorder="1"/>
    <xf numFmtId="0" fontId="6" fillId="0" borderId="7" xfId="0" applyFont="1" applyBorder="1" applyAlignment="1">
      <alignment horizontal="left" vertical="center"/>
    </xf>
    <xf numFmtId="0" fontId="6" fillId="4" borderId="27" xfId="0" applyFont="1" applyFill="1" applyBorder="1"/>
    <xf numFmtId="0" fontId="6" fillId="0" borderId="28" xfId="0" applyFont="1" applyBorder="1" applyAlignment="1">
      <alignment horizontal="center" vertical="center"/>
    </xf>
    <xf numFmtId="0" fontId="6" fillId="0" borderId="21" xfId="0" applyFont="1" applyBorder="1" applyAlignment="1">
      <alignment horizontal="left" vertical="center"/>
    </xf>
    <xf numFmtId="0" fontId="6" fillId="0" borderId="29" xfId="0" applyFont="1" applyBorder="1" applyAlignment="1">
      <alignment horizontal="center" vertical="center"/>
    </xf>
    <xf numFmtId="0" fontId="6" fillId="4" borderId="30" xfId="0" applyFont="1" applyFill="1" applyBorder="1"/>
    <xf numFmtId="164" fontId="6" fillId="0" borderId="6" xfId="0" applyNumberFormat="1" applyFont="1" applyBorder="1" applyAlignment="1">
      <alignment wrapText="1"/>
    </xf>
    <xf numFmtId="49" fontId="6" fillId="0" borderId="0" xfId="0" applyNumberFormat="1" applyFont="1" applyAlignment="1">
      <alignment horizontal="right"/>
    </xf>
    <xf numFmtId="0" fontId="6" fillId="5" borderId="35" xfId="0" applyFont="1" applyFill="1" applyBorder="1" applyAlignment="1">
      <alignment horizontal="center" vertical="center"/>
    </xf>
    <xf numFmtId="14" fontId="6" fillId="5" borderId="35" xfId="0" applyNumberFormat="1" applyFont="1" applyFill="1" applyBorder="1"/>
    <xf numFmtId="0" fontId="6" fillId="5" borderId="35" xfId="0" applyFont="1" applyFill="1" applyBorder="1" applyAlignment="1">
      <alignment horizontal="center"/>
    </xf>
    <xf numFmtId="164" fontId="6" fillId="5" borderId="35" xfId="0" applyNumberFormat="1" applyFont="1" applyFill="1" applyBorder="1"/>
    <xf numFmtId="0" fontId="6" fillId="5" borderId="35" xfId="0" applyFont="1" applyFill="1" applyBorder="1"/>
    <xf numFmtId="1" fontId="6" fillId="5" borderId="35" xfId="0" applyNumberFormat="1" applyFont="1" applyFill="1" applyBorder="1"/>
    <xf numFmtId="0" fontId="6" fillId="5" borderId="23" xfId="0" applyFont="1" applyFill="1" applyBorder="1"/>
    <xf numFmtId="1" fontId="6" fillId="5" borderId="23" xfId="0" applyNumberFormat="1" applyFont="1" applyFill="1" applyBorder="1"/>
    <xf numFmtId="14" fontId="6" fillId="5" borderId="23" xfId="0" applyNumberFormat="1" applyFont="1" applyFill="1" applyBorder="1"/>
    <xf numFmtId="164" fontId="11" fillId="0" borderId="36" xfId="0" applyNumberFormat="1" applyFont="1" applyBorder="1" applyAlignment="1">
      <alignment horizontal="center" vertical="center"/>
    </xf>
    <xf numFmtId="164" fontId="11" fillId="0" borderId="7" xfId="0" applyNumberFormat="1" applyFont="1" applyBorder="1" applyAlignment="1">
      <alignment horizontal="center" vertical="center"/>
    </xf>
    <xf numFmtId="0" fontId="6" fillId="6" borderId="23" xfId="0" applyFont="1" applyFill="1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right" vertical="center"/>
    </xf>
    <xf numFmtId="14" fontId="4" fillId="3" borderId="2" xfId="0" applyNumberFormat="1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right" vertical="center"/>
    </xf>
    <xf numFmtId="0" fontId="6" fillId="0" borderId="15" xfId="0" applyFont="1" applyBorder="1" applyAlignment="1">
      <alignment horizontal="right" vertical="center"/>
    </xf>
    <xf numFmtId="0" fontId="6" fillId="0" borderId="11" xfId="0" applyFont="1" applyBorder="1" applyAlignment="1">
      <alignment horizontal="right"/>
    </xf>
    <xf numFmtId="0" fontId="6" fillId="0" borderId="6" xfId="0" applyFont="1" applyBorder="1" applyAlignment="1">
      <alignment horizontal="right"/>
    </xf>
    <xf numFmtId="14" fontId="9" fillId="0" borderId="0" xfId="0" applyNumberFormat="1" applyFont="1"/>
    <xf numFmtId="0" fontId="6" fillId="0" borderId="15" xfId="0" applyFont="1" applyBorder="1" applyAlignment="1">
      <alignment horizontal="right"/>
    </xf>
    <xf numFmtId="14" fontId="6" fillId="0" borderId="11" xfId="0" applyNumberFormat="1" applyFont="1" applyBorder="1" applyAlignment="1">
      <alignment horizontal="right"/>
    </xf>
    <xf numFmtId="14" fontId="6" fillId="0" borderId="31" xfId="0" applyNumberFormat="1" applyFont="1" applyBorder="1"/>
    <xf numFmtId="14" fontId="6" fillId="0" borderId="32" xfId="0" applyNumberFormat="1" applyFont="1" applyBorder="1"/>
    <xf numFmtId="14" fontId="6" fillId="0" borderId="33" xfId="0" applyNumberFormat="1" applyFont="1" applyBorder="1"/>
    <xf numFmtId="1" fontId="6" fillId="0" borderId="0" xfId="0" applyNumberFormat="1" applyFont="1" applyAlignment="1">
      <alignment horizontal="right"/>
    </xf>
    <xf numFmtId="0" fontId="0" fillId="0" borderId="0" xfId="0" applyAlignment="1">
      <alignment horizontal="center"/>
    </xf>
    <xf numFmtId="14" fontId="0" fillId="0" borderId="0" xfId="0" applyNumberFormat="1"/>
    <xf numFmtId="164" fontId="6" fillId="0" borderId="23" xfId="0" applyNumberFormat="1" applyFont="1" applyBorder="1"/>
    <xf numFmtId="0" fontId="6" fillId="0" borderId="23" xfId="0" applyFont="1" applyBorder="1" applyAlignment="1">
      <alignment horizontal="center" vertical="center"/>
    </xf>
    <xf numFmtId="14" fontId="6" fillId="0" borderId="23" xfId="0" applyNumberFormat="1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23" xfId="0" applyFont="1" applyBorder="1" applyAlignment="1">
      <alignment horizontal="right" vertical="center"/>
    </xf>
    <xf numFmtId="0" fontId="0" fillId="0" borderId="23" xfId="0" applyBorder="1"/>
    <xf numFmtId="1" fontId="6" fillId="0" borderId="23" xfId="0" applyNumberFormat="1" applyFont="1" applyBorder="1"/>
    <xf numFmtId="14" fontId="0" fillId="0" borderId="23" xfId="0" applyNumberFormat="1" applyBorder="1"/>
    <xf numFmtId="0" fontId="6" fillId="0" borderId="23" xfId="0" applyFont="1" applyBorder="1"/>
    <xf numFmtId="14" fontId="6" fillId="0" borderId="23" xfId="0" applyNumberFormat="1" applyFont="1" applyBorder="1"/>
    <xf numFmtId="0" fontId="0" fillId="0" borderId="23" xfId="0" applyBorder="1" applyAlignment="1">
      <alignment horizontal="center"/>
    </xf>
    <xf numFmtId="14" fontId="0" fillId="0" borderId="23" xfId="0" applyNumberFormat="1" applyBorder="1" applyAlignment="1">
      <alignment horizontal="center" vertical="center"/>
    </xf>
    <xf numFmtId="0" fontId="6" fillId="0" borderId="40" xfId="0" applyFont="1" applyBorder="1"/>
    <xf numFmtId="0" fontId="0" fillId="0" borderId="40" xfId="0" applyBorder="1"/>
    <xf numFmtId="0" fontId="6" fillId="0" borderId="40" xfId="0" applyFont="1" applyBorder="1" applyAlignment="1">
      <alignment horizontal="right" vertical="center"/>
    </xf>
    <xf numFmtId="14" fontId="0" fillId="0" borderId="40" xfId="0" applyNumberFormat="1" applyBorder="1"/>
    <xf numFmtId="1" fontId="6" fillId="0" borderId="40" xfId="0" applyNumberFormat="1" applyFont="1" applyBorder="1"/>
    <xf numFmtId="0" fontId="6" fillId="0" borderId="40" xfId="0" applyFont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14" fontId="0" fillId="0" borderId="40" xfId="0" applyNumberFormat="1" applyBorder="1" applyAlignment="1">
      <alignment horizontal="center"/>
    </xf>
    <xf numFmtId="165" fontId="6" fillId="0" borderId="6" xfId="0" applyNumberFormat="1" applyFont="1" applyBorder="1" applyAlignment="1">
      <alignment horizontal="center" vertical="center"/>
    </xf>
    <xf numFmtId="165" fontId="6" fillId="0" borderId="11" xfId="0" applyNumberFormat="1" applyFont="1" applyBorder="1" applyAlignment="1">
      <alignment horizontal="center" vertical="center"/>
    </xf>
    <xf numFmtId="165" fontId="6" fillId="0" borderId="15" xfId="0" applyNumberFormat="1" applyFont="1" applyBorder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5" fontId="6" fillId="0" borderId="6" xfId="0" applyNumberFormat="1" applyFont="1" applyBorder="1" applyAlignment="1">
      <alignment horizontal="center"/>
    </xf>
    <xf numFmtId="165" fontId="6" fillId="0" borderId="0" xfId="0" applyNumberFormat="1" applyFont="1" applyAlignment="1">
      <alignment horizontal="center"/>
    </xf>
    <xf numFmtId="165" fontId="6" fillId="0" borderId="11" xfId="0" applyNumberFormat="1" applyFont="1" applyBorder="1" applyAlignment="1">
      <alignment horizontal="center"/>
    </xf>
    <xf numFmtId="165" fontId="6" fillId="0" borderId="23" xfId="0" applyNumberFormat="1" applyFont="1" applyBorder="1" applyAlignment="1">
      <alignment horizontal="center"/>
    </xf>
    <xf numFmtId="165" fontId="0" fillId="0" borderId="23" xfId="0" applyNumberFormat="1" applyBorder="1" applyAlignment="1">
      <alignment horizontal="center"/>
    </xf>
    <xf numFmtId="165" fontId="0" fillId="0" borderId="40" xfId="0" applyNumberFormat="1" applyBorder="1" applyAlignment="1">
      <alignment horizontal="center"/>
    </xf>
    <xf numFmtId="165" fontId="6" fillId="0" borderId="15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23" xfId="1" applyNumberFormat="1" applyFont="1" applyBorder="1" applyAlignment="1">
      <alignment horizontal="center"/>
    </xf>
    <xf numFmtId="0" fontId="6" fillId="0" borderId="42" xfId="0" applyFont="1" applyBorder="1"/>
    <xf numFmtId="0" fontId="6" fillId="0" borderId="41" xfId="0" applyFont="1" applyBorder="1"/>
    <xf numFmtId="14" fontId="0" fillId="0" borderId="23" xfId="0" applyNumberFormat="1" applyBorder="1" applyAlignment="1">
      <alignment horizontal="center"/>
    </xf>
    <xf numFmtId="0" fontId="0" fillId="0" borderId="40" xfId="0" applyBorder="1" applyAlignment="1">
      <alignment horizontal="center"/>
    </xf>
    <xf numFmtId="0" fontId="9" fillId="0" borderId="0" xfId="0" applyFont="1" applyAlignment="1">
      <alignment horizontal="center"/>
    </xf>
    <xf numFmtId="0" fontId="0" fillId="0" borderId="23" xfId="0" applyBorder="1" applyAlignment="1">
      <alignment horizontal="center" vertical="center"/>
    </xf>
    <xf numFmtId="14" fontId="6" fillId="0" borderId="23" xfId="0" applyNumberFormat="1" applyFont="1" applyBorder="1" applyAlignment="1">
      <alignment horizontal="center" vertical="center"/>
    </xf>
    <xf numFmtId="165" fontId="6" fillId="0" borderId="23" xfId="0" applyNumberFormat="1" applyFont="1" applyBorder="1" applyAlignment="1">
      <alignment horizontal="center" vertical="center"/>
    </xf>
    <xf numFmtId="1" fontId="6" fillId="0" borderId="23" xfId="0" applyNumberFormat="1" applyFont="1" applyBorder="1" applyAlignment="1">
      <alignment horizontal="center" vertical="center"/>
    </xf>
    <xf numFmtId="14" fontId="6" fillId="0" borderId="40" xfId="0" applyNumberFormat="1" applyFont="1" applyBorder="1" applyAlignment="1">
      <alignment horizontal="center" vertical="center"/>
    </xf>
    <xf numFmtId="165" fontId="6" fillId="0" borderId="40" xfId="0" applyNumberFormat="1" applyFont="1" applyBorder="1" applyAlignment="1">
      <alignment horizontal="center" vertical="center"/>
    </xf>
    <xf numFmtId="1" fontId="6" fillId="0" borderId="40" xfId="0" applyNumberFormat="1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14" fontId="6" fillId="0" borderId="39" xfId="0" applyNumberFormat="1" applyFont="1" applyBorder="1" applyAlignment="1">
      <alignment horizontal="center" vertical="center"/>
    </xf>
    <xf numFmtId="0" fontId="6" fillId="0" borderId="39" xfId="0" applyFont="1" applyBorder="1" applyAlignment="1">
      <alignment horizontal="right" vertical="center"/>
    </xf>
    <xf numFmtId="165" fontId="6" fillId="0" borderId="39" xfId="0" applyNumberFormat="1" applyFont="1" applyBorder="1" applyAlignment="1">
      <alignment horizontal="center" vertical="center"/>
    </xf>
    <xf numFmtId="1" fontId="6" fillId="0" borderId="39" xfId="0" applyNumberFormat="1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5" fillId="0" borderId="11" xfId="0" applyFont="1" applyBorder="1"/>
    <xf numFmtId="4" fontId="0" fillId="0" borderId="0" xfId="0" applyNumberFormat="1"/>
    <xf numFmtId="0" fontId="6" fillId="4" borderId="2" xfId="0" applyFont="1" applyFill="1" applyBorder="1" applyAlignment="1">
      <alignment horizontal="center" vertical="center"/>
    </xf>
    <xf numFmtId="0" fontId="6" fillId="4" borderId="38" xfId="0" applyFont="1" applyFill="1" applyBorder="1" applyAlignment="1">
      <alignment horizontal="center" vertical="center"/>
    </xf>
    <xf numFmtId="0" fontId="6" fillId="4" borderId="23" xfId="0" applyFont="1" applyFill="1" applyBorder="1" applyAlignment="1">
      <alignment horizontal="center" vertical="center"/>
    </xf>
    <xf numFmtId="164" fontId="6" fillId="0" borderId="23" xfId="0" applyNumberFormat="1" applyFont="1" applyBorder="1" applyAlignment="1">
      <alignment vertical="center"/>
    </xf>
    <xf numFmtId="164" fontId="6" fillId="0" borderId="40" xfId="0" applyNumberFormat="1" applyFont="1" applyBorder="1" applyAlignment="1">
      <alignment vertical="center"/>
    </xf>
    <xf numFmtId="0" fontId="5" fillId="0" borderId="23" xfId="0" applyFont="1" applyBorder="1"/>
    <xf numFmtId="0" fontId="6" fillId="0" borderId="42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0" fontId="6" fillId="0" borderId="23" xfId="0" applyFont="1" applyBorder="1" applyAlignment="1">
      <alignment horizontal="right"/>
    </xf>
    <xf numFmtId="44" fontId="0" fillId="0" borderId="0" xfId="1" applyFont="1"/>
    <xf numFmtId="165" fontId="0" fillId="0" borderId="0" xfId="0" applyNumberFormat="1"/>
    <xf numFmtId="0" fontId="13" fillId="0" borderId="23" xfId="0" applyFont="1" applyBorder="1"/>
    <xf numFmtId="0" fontId="0" fillId="7" borderId="0" xfId="0" applyFill="1"/>
    <xf numFmtId="165" fontId="0" fillId="0" borderId="0" xfId="0" applyNumberFormat="1" applyAlignment="1">
      <alignment horizontal="center" vertical="center"/>
    </xf>
    <xf numFmtId="0" fontId="2" fillId="0" borderId="0" xfId="0" applyFont="1"/>
    <xf numFmtId="0" fontId="0" fillId="0" borderId="39" xfId="0" applyBorder="1"/>
    <xf numFmtId="0" fontId="2" fillId="0" borderId="39" xfId="0" applyFont="1" applyBorder="1"/>
    <xf numFmtId="0" fontId="0" fillId="0" borderId="39" xfId="0" applyBorder="1" applyAlignment="1">
      <alignment horizontal="center"/>
    </xf>
    <xf numFmtId="14" fontId="0" fillId="0" borderId="39" xfId="0" applyNumberFormat="1" applyBorder="1" applyAlignment="1">
      <alignment horizontal="center"/>
    </xf>
    <xf numFmtId="0" fontId="13" fillId="0" borderId="39" xfId="0" applyFont="1" applyBorder="1"/>
    <xf numFmtId="0" fontId="6" fillId="0" borderId="39" xfId="0" applyFont="1" applyBorder="1" applyAlignment="1">
      <alignment horizontal="right"/>
    </xf>
    <xf numFmtId="165" fontId="0" fillId="0" borderId="39" xfId="0" applyNumberFormat="1" applyBorder="1" applyAlignment="1">
      <alignment horizontal="center"/>
    </xf>
    <xf numFmtId="0" fontId="3" fillId="0" borderId="39" xfId="0" applyFont="1" applyBorder="1"/>
    <xf numFmtId="14" fontId="0" fillId="0" borderId="39" xfId="0" applyNumberFormat="1" applyBorder="1"/>
    <xf numFmtId="14" fontId="9" fillId="0" borderId="39" xfId="0" applyNumberFormat="1" applyFont="1" applyBorder="1"/>
    <xf numFmtId="0" fontId="3" fillId="0" borderId="43" xfId="0" applyFont="1" applyBorder="1"/>
    <xf numFmtId="0" fontId="2" fillId="0" borderId="40" xfId="0" applyFont="1" applyBorder="1"/>
    <xf numFmtId="0" fontId="13" fillId="0" borderId="40" xfId="0" applyFont="1" applyBorder="1"/>
    <xf numFmtId="0" fontId="6" fillId="0" borderId="40" xfId="0" applyFont="1" applyBorder="1" applyAlignment="1">
      <alignment horizontal="right"/>
    </xf>
    <xf numFmtId="0" fontId="3" fillId="0" borderId="40" xfId="0" applyFont="1" applyBorder="1"/>
    <xf numFmtId="14" fontId="9" fillId="0" borderId="40" xfId="0" applyNumberFormat="1" applyFont="1" applyBorder="1"/>
    <xf numFmtId="0" fontId="3" fillId="0" borderId="41" xfId="0" applyFont="1" applyBorder="1"/>
    <xf numFmtId="0" fontId="3" fillId="0" borderId="23" xfId="0" applyFont="1" applyBorder="1"/>
    <xf numFmtId="0" fontId="2" fillId="0" borderId="23" xfId="0" applyFont="1" applyBorder="1"/>
    <xf numFmtId="0" fontId="14" fillId="0" borderId="39" xfId="0" applyFont="1" applyBorder="1"/>
    <xf numFmtId="165" fontId="0" fillId="0" borderId="39" xfId="0" applyNumberFormat="1" applyBorder="1" applyAlignment="1">
      <alignment horizontal="center" vertical="center"/>
    </xf>
    <xf numFmtId="165" fontId="0" fillId="0" borderId="39" xfId="1" applyNumberFormat="1" applyFont="1" applyBorder="1" applyAlignment="1">
      <alignment horizontal="center" vertical="center"/>
    </xf>
    <xf numFmtId="0" fontId="2" fillId="0" borderId="43" xfId="0" applyFont="1" applyBorder="1"/>
    <xf numFmtId="0" fontId="14" fillId="0" borderId="23" xfId="0" applyFont="1" applyBorder="1"/>
    <xf numFmtId="165" fontId="0" fillId="0" borderId="23" xfId="0" applyNumberFormat="1" applyBorder="1" applyAlignment="1">
      <alignment horizontal="center" vertical="center"/>
    </xf>
    <xf numFmtId="14" fontId="9" fillId="0" borderId="23" xfId="0" applyNumberFormat="1" applyFont="1" applyBorder="1"/>
    <xf numFmtId="0" fontId="2" fillId="0" borderId="42" xfId="0" applyFont="1" applyBorder="1"/>
    <xf numFmtId="0" fontId="0" fillId="7" borderId="23" xfId="0" applyFill="1" applyBorder="1"/>
    <xf numFmtId="14" fontId="0" fillId="7" borderId="23" xfId="0" applyNumberFormat="1" applyFill="1" applyBorder="1" applyAlignment="1">
      <alignment horizontal="center"/>
    </xf>
    <xf numFmtId="165" fontId="0" fillId="7" borderId="23" xfId="0" applyNumberFormat="1" applyFill="1" applyBorder="1" applyAlignment="1">
      <alignment horizontal="center"/>
    </xf>
    <xf numFmtId="0" fontId="0" fillId="7" borderId="23" xfId="0" applyFill="1" applyBorder="1" applyAlignment="1">
      <alignment horizontal="center"/>
    </xf>
    <xf numFmtId="14" fontId="9" fillId="7" borderId="23" xfId="0" applyNumberFormat="1" applyFont="1" applyFill="1" applyBorder="1"/>
    <xf numFmtId="0" fontId="0" fillId="7" borderId="42" xfId="0" applyFill="1" applyBorder="1"/>
    <xf numFmtId="165" fontId="0" fillId="0" borderId="42" xfId="0" applyNumberFormat="1" applyBorder="1" applyAlignment="1">
      <alignment horizontal="center"/>
    </xf>
    <xf numFmtId="165" fontId="0" fillId="0" borderId="40" xfId="0" applyNumberFormat="1" applyBorder="1" applyAlignment="1">
      <alignment horizontal="center" vertical="center"/>
    </xf>
    <xf numFmtId="0" fontId="0" fillId="0" borderId="41" xfId="0" applyBorder="1"/>
    <xf numFmtId="14" fontId="6" fillId="0" borderId="46" xfId="0" applyNumberFormat="1" applyFont="1" applyBorder="1" applyAlignment="1">
      <alignment horizontal="left"/>
    </xf>
    <xf numFmtId="14" fontId="6" fillId="0" borderId="47" xfId="0" applyNumberFormat="1" applyFont="1" applyBorder="1" applyAlignment="1">
      <alignment horizontal="left"/>
    </xf>
    <xf numFmtId="14" fontId="6" fillId="0" borderId="48" xfId="0" applyNumberFormat="1" applyFont="1" applyBorder="1" applyAlignment="1">
      <alignment horizontal="left"/>
    </xf>
    <xf numFmtId="14" fontId="6" fillId="0" borderId="46" xfId="0" applyNumberFormat="1" applyFont="1" applyBorder="1" applyAlignment="1">
      <alignment horizontal="left" vertical="center"/>
    </xf>
    <xf numFmtId="14" fontId="6" fillId="0" borderId="47" xfId="0" applyNumberFormat="1" applyFont="1" applyBorder="1" applyAlignment="1">
      <alignment horizontal="left" vertical="center"/>
    </xf>
    <xf numFmtId="14" fontId="6" fillId="0" borderId="48" xfId="0" applyNumberFormat="1" applyFont="1" applyBorder="1" applyAlignment="1">
      <alignment horizontal="left" vertical="center"/>
    </xf>
    <xf numFmtId="0" fontId="6" fillId="0" borderId="49" xfId="0" applyFont="1" applyBorder="1"/>
    <xf numFmtId="0" fontId="0" fillId="0" borderId="42" xfId="0" applyBorder="1"/>
    <xf numFmtId="0" fontId="0" fillId="0" borderId="39" xfId="0" applyBorder="1" applyAlignment="1">
      <alignment vertical="center"/>
    </xf>
    <xf numFmtId="0" fontId="0" fillId="0" borderId="43" xfId="0" applyBorder="1"/>
    <xf numFmtId="0" fontId="0" fillId="0" borderId="23" xfId="0" applyBorder="1" applyAlignment="1">
      <alignment vertical="center"/>
    </xf>
    <xf numFmtId="0" fontId="0" fillId="0" borderId="40" xfId="0" applyBorder="1" applyAlignment="1">
      <alignment vertical="center"/>
    </xf>
    <xf numFmtId="4" fontId="0" fillId="0" borderId="40" xfId="0" applyNumberFormat="1" applyBorder="1"/>
    <xf numFmtId="165" fontId="5" fillId="0" borderId="23" xfId="0" applyNumberFormat="1" applyFont="1" applyBorder="1" applyAlignment="1">
      <alignment horizontal="center" vertical="center"/>
    </xf>
    <xf numFmtId="165" fontId="5" fillId="0" borderId="11" xfId="0" applyNumberFormat="1" applyFont="1" applyBorder="1" applyAlignment="1">
      <alignment horizontal="center" vertical="center"/>
    </xf>
    <xf numFmtId="165" fontId="6" fillId="5" borderId="35" xfId="0" applyNumberFormat="1" applyFont="1" applyFill="1" applyBorder="1" applyAlignment="1">
      <alignment horizontal="center" vertical="center"/>
    </xf>
    <xf numFmtId="165" fontId="6" fillId="5" borderId="23" xfId="0" applyNumberFormat="1" applyFont="1" applyFill="1" applyBorder="1" applyAlignment="1">
      <alignment horizontal="center" vertical="center"/>
    </xf>
    <xf numFmtId="165" fontId="13" fillId="0" borderId="39" xfId="0" applyNumberFormat="1" applyFont="1" applyBorder="1" applyAlignment="1">
      <alignment horizontal="center" vertical="center"/>
    </xf>
    <xf numFmtId="165" fontId="13" fillId="0" borderId="23" xfId="0" applyNumberFormat="1" applyFont="1" applyBorder="1" applyAlignment="1">
      <alignment horizontal="center" vertical="center"/>
    </xf>
    <xf numFmtId="165" fontId="0" fillId="7" borderId="23" xfId="0" applyNumberFormat="1" applyFill="1" applyBorder="1" applyAlignment="1">
      <alignment horizontal="center" vertical="center"/>
    </xf>
    <xf numFmtId="14" fontId="6" fillId="0" borderId="39" xfId="0" applyNumberFormat="1" applyFont="1" applyBorder="1" applyAlignment="1">
      <alignment vertical="center"/>
    </xf>
    <xf numFmtId="165" fontId="17" fillId="0" borderId="39" xfId="0" applyNumberFormat="1" applyFont="1" applyBorder="1"/>
    <xf numFmtId="4" fontId="0" fillId="0" borderId="39" xfId="0" applyNumberFormat="1" applyBorder="1"/>
    <xf numFmtId="14" fontId="6" fillId="0" borderId="23" xfId="0" applyNumberFormat="1" applyFont="1" applyBorder="1" applyAlignment="1">
      <alignment vertical="center"/>
    </xf>
    <xf numFmtId="165" fontId="17" fillId="0" borderId="23" xfId="0" applyNumberFormat="1" applyFont="1" applyBorder="1"/>
    <xf numFmtId="14" fontId="6" fillId="0" borderId="40" xfId="0" applyNumberFormat="1" applyFont="1" applyBorder="1"/>
    <xf numFmtId="0" fontId="13" fillId="0" borderId="21" xfId="0" applyFont="1" applyBorder="1"/>
    <xf numFmtId="0" fontId="2" fillId="0" borderId="50" xfId="0" applyFont="1" applyBorder="1"/>
    <xf numFmtId="14" fontId="6" fillId="0" borderId="39" xfId="0" applyNumberFormat="1" applyFont="1" applyBorder="1"/>
    <xf numFmtId="4" fontId="19" fillId="0" borderId="39" xfId="0" applyNumberFormat="1" applyFont="1" applyBorder="1"/>
    <xf numFmtId="4" fontId="19" fillId="0" borderId="23" xfId="0" applyNumberFormat="1" applyFont="1" applyBorder="1"/>
    <xf numFmtId="0" fontId="13" fillId="0" borderId="23" xfId="0" applyFont="1" applyBorder="1" applyAlignment="1">
      <alignment horizontal="right"/>
    </xf>
    <xf numFmtId="1" fontId="2" fillId="0" borderId="0" xfId="0" applyNumberFormat="1" applyFont="1"/>
    <xf numFmtId="0" fontId="6" fillId="0" borderId="6" xfId="0" applyFont="1" applyBorder="1" applyAlignment="1">
      <alignment horizontal="center"/>
    </xf>
    <xf numFmtId="0" fontId="0" fillId="0" borderId="0" xfId="0"/>
    <xf numFmtId="164" fontId="6" fillId="0" borderId="6" xfId="0" applyNumberFormat="1" applyFont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1" fontId="6" fillId="0" borderId="23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5" fillId="0" borderId="11" xfId="0" applyFont="1" applyBorder="1"/>
    <xf numFmtId="14" fontId="6" fillId="0" borderId="6" xfId="0" applyNumberFormat="1" applyFont="1" applyBorder="1" applyAlignment="1">
      <alignment horizontal="center" vertical="center"/>
    </xf>
    <xf numFmtId="164" fontId="6" fillId="0" borderId="23" xfId="0" applyNumberFormat="1" applyFont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5" fillId="0" borderId="18" xfId="0" applyFont="1" applyBorder="1"/>
    <xf numFmtId="0" fontId="5" fillId="0" borderId="8" xfId="0" applyFont="1" applyBorder="1"/>
    <xf numFmtId="0" fontId="6" fillId="0" borderId="5" xfId="0" applyFont="1" applyBorder="1" applyAlignment="1">
      <alignment horizontal="center" vertical="center"/>
    </xf>
    <xf numFmtId="0" fontId="5" fillId="0" borderId="20" xfId="0" applyFont="1" applyBorder="1"/>
    <xf numFmtId="0" fontId="5" fillId="0" borderId="10" xfId="0" applyFont="1" applyBorder="1"/>
    <xf numFmtId="0" fontId="6" fillId="4" borderId="3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5" fillId="0" borderId="9" xfId="0" applyFont="1" applyBorder="1"/>
    <xf numFmtId="0" fontId="6" fillId="0" borderId="20" xfId="0" applyFont="1" applyBorder="1" applyAlignment="1">
      <alignment horizontal="center" vertical="center"/>
    </xf>
    <xf numFmtId="14" fontId="6" fillId="0" borderId="23" xfId="0" applyNumberFormat="1" applyFont="1" applyBorder="1" applyAlignment="1">
      <alignment horizontal="center" vertical="center"/>
    </xf>
    <xf numFmtId="0" fontId="5" fillId="0" borderId="19" xfId="0" applyFont="1" applyBorder="1"/>
    <xf numFmtId="0" fontId="5" fillId="0" borderId="30" xfId="0" applyFont="1" applyBorder="1"/>
    <xf numFmtId="0" fontId="5" fillId="0" borderId="34" xfId="0" applyFont="1" applyBorder="1"/>
    <xf numFmtId="164" fontId="7" fillId="0" borderId="6" xfId="0" applyNumberFormat="1" applyFont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/>
    </xf>
    <xf numFmtId="0" fontId="6" fillId="0" borderId="6" xfId="0" applyFont="1" applyBorder="1" applyAlignment="1">
      <alignment horizontal="right" vertical="center"/>
    </xf>
    <xf numFmtId="0" fontId="0" fillId="0" borderId="0" xfId="0" applyAlignment="1">
      <alignment horizontal="center"/>
    </xf>
    <xf numFmtId="0" fontId="5" fillId="0" borderId="23" xfId="0" applyFont="1" applyBorder="1"/>
    <xf numFmtId="164" fontId="6" fillId="0" borderId="6" xfId="0" applyNumberFormat="1" applyFont="1" applyBorder="1" applyAlignment="1">
      <alignment horizontal="center"/>
    </xf>
    <xf numFmtId="1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4" fontId="6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165" fontId="6" fillId="0" borderId="6" xfId="0" applyNumberFormat="1" applyFont="1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14" fontId="6" fillId="0" borderId="6" xfId="0" applyNumberFormat="1" applyFont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0" borderId="7" xfId="0" applyFont="1" applyBorder="1" applyAlignment="1">
      <alignment horizontal="center" vertical="center"/>
    </xf>
    <xf numFmtId="0" fontId="5" fillId="0" borderId="21" xfId="0" applyFont="1" applyBorder="1"/>
    <xf numFmtId="165" fontId="6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5" fillId="0" borderId="44" xfId="0" applyFont="1" applyBorder="1"/>
    <xf numFmtId="0" fontId="7" fillId="0" borderId="0" xfId="0" applyFont="1" applyAlignment="1">
      <alignment horizontal="center" vertical="center"/>
    </xf>
    <xf numFmtId="164" fontId="6" fillId="0" borderId="39" xfId="0" applyNumberFormat="1" applyFont="1" applyBorder="1" applyAlignment="1">
      <alignment horizontal="center" vertical="center"/>
    </xf>
    <xf numFmtId="0" fontId="0" fillId="0" borderId="23" xfId="0" applyBorder="1"/>
    <xf numFmtId="165" fontId="0" fillId="0" borderId="0" xfId="0" applyNumberForma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6" fillId="0" borderId="23" xfId="0" applyFont="1" applyBorder="1" applyAlignment="1">
      <alignment horizontal="right" vertical="center"/>
    </xf>
    <xf numFmtId="165" fontId="6" fillId="0" borderId="23" xfId="0" applyNumberFormat="1" applyFont="1" applyBorder="1" applyAlignment="1">
      <alignment horizontal="center" vertical="center"/>
    </xf>
    <xf numFmtId="0" fontId="5" fillId="0" borderId="45" xfId="0" applyFont="1" applyBorder="1"/>
    <xf numFmtId="0" fontId="6" fillId="0" borderId="6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6" fillId="4" borderId="37" xfId="0" applyFont="1" applyFill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14" fontId="6" fillId="0" borderId="35" xfId="0" applyNumberFormat="1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164" fontId="6" fillId="0" borderId="35" xfId="0" applyNumberFormat="1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4" fontId="6" fillId="0" borderId="40" xfId="0" applyNumberFormat="1" applyFont="1" applyBorder="1" applyAlignment="1">
      <alignment horizontal="center" vertical="center"/>
    </xf>
    <xf numFmtId="165" fontId="0" fillId="0" borderId="23" xfId="0" applyNumberFormat="1" applyBorder="1" applyAlignment="1">
      <alignment horizontal="center" vertical="center"/>
    </xf>
    <xf numFmtId="165" fontId="0" fillId="0" borderId="40" xfId="0" applyNumberFormat="1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14" fontId="0" fillId="0" borderId="40" xfId="0" applyNumberFormat="1" applyBorder="1" applyAlignment="1">
      <alignment horizontal="center" vertical="center"/>
    </xf>
    <xf numFmtId="0" fontId="15" fillId="0" borderId="23" xfId="0" applyFont="1" applyBorder="1" applyAlignment="1">
      <alignment horizontal="center"/>
    </xf>
    <xf numFmtId="0" fontId="15" fillId="0" borderId="40" xfId="0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40" xfId="0" applyBorder="1" applyAlignment="1">
      <alignment horizontal="center"/>
    </xf>
    <xf numFmtId="14" fontId="6" fillId="0" borderId="39" xfId="0" applyNumberFormat="1" applyFont="1" applyBorder="1" applyAlignment="1">
      <alignment horizontal="center" vertical="center"/>
    </xf>
    <xf numFmtId="165" fontId="0" fillId="0" borderId="39" xfId="0" applyNumberFormat="1" applyBorder="1" applyAlignment="1">
      <alignment horizontal="center" vertical="center"/>
    </xf>
    <xf numFmtId="165" fontId="0" fillId="0" borderId="39" xfId="1" applyNumberFormat="1" applyFont="1" applyBorder="1" applyAlignment="1">
      <alignment horizontal="center" vertical="center"/>
    </xf>
    <xf numFmtId="165" fontId="0" fillId="0" borderId="23" xfId="1" applyNumberFormat="1" applyFont="1" applyBorder="1" applyAlignment="1">
      <alignment horizontal="center" vertical="center"/>
    </xf>
    <xf numFmtId="14" fontId="0" fillId="0" borderId="39" xfId="0" applyNumberFormat="1" applyBorder="1" applyAlignment="1">
      <alignment horizontal="center" vertical="center"/>
    </xf>
    <xf numFmtId="0" fontId="15" fillId="0" borderId="39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164" fontId="13" fillId="0" borderId="39" xfId="0" applyNumberFormat="1" applyFont="1" applyBorder="1" applyAlignment="1">
      <alignment horizontal="center"/>
    </xf>
    <xf numFmtId="164" fontId="13" fillId="0" borderId="40" xfId="0" applyNumberFormat="1" applyFont="1" applyBorder="1" applyAlignment="1">
      <alignment horizontal="center"/>
    </xf>
    <xf numFmtId="14" fontId="0" fillId="0" borderId="39" xfId="0" applyNumberFormat="1" applyBorder="1" applyAlignment="1">
      <alignment horizontal="center"/>
    </xf>
    <xf numFmtId="14" fontId="0" fillId="0" borderId="40" xfId="0" applyNumberFormat="1" applyBorder="1" applyAlignment="1">
      <alignment horizontal="center"/>
    </xf>
    <xf numFmtId="0" fontId="0" fillId="0" borderId="39" xfId="0" applyBorder="1" applyAlignment="1">
      <alignment horizontal="center"/>
    </xf>
    <xf numFmtId="14" fontId="6" fillId="0" borderId="46" xfId="0" applyNumberFormat="1" applyFont="1" applyBorder="1" applyAlignment="1">
      <alignment horizontal="center" vertical="center"/>
    </xf>
    <xf numFmtId="14" fontId="6" fillId="0" borderId="48" xfId="0" applyNumberFormat="1" applyFont="1" applyBorder="1" applyAlignment="1">
      <alignment horizontal="center" vertical="center"/>
    </xf>
    <xf numFmtId="14" fontId="6" fillId="0" borderId="47" xfId="0" applyNumberFormat="1" applyFont="1" applyBorder="1" applyAlignment="1">
      <alignment horizontal="center" vertical="center"/>
    </xf>
    <xf numFmtId="0" fontId="18" fillId="0" borderId="39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40" xfId="0" applyFont="1" applyBorder="1" applyAlignment="1">
      <alignment horizontal="center" vertical="center"/>
    </xf>
    <xf numFmtId="14" fontId="6" fillId="0" borderId="39" xfId="0" applyNumberFormat="1" applyFont="1" applyBorder="1" applyAlignment="1">
      <alignment horizontal="center"/>
    </xf>
    <xf numFmtId="14" fontId="6" fillId="0" borderId="40" xfId="0" applyNumberFormat="1" applyFont="1" applyBorder="1" applyAlignment="1">
      <alignment horizontal="center"/>
    </xf>
    <xf numFmtId="0" fontId="20" fillId="8" borderId="51" xfId="0" applyFont="1" applyFill="1" applyBorder="1" applyAlignment="1">
      <alignment horizontal="center" wrapText="1"/>
    </xf>
    <xf numFmtId="0" fontId="1" fillId="9" borderId="51" xfId="0" applyFont="1" applyFill="1" applyBorder="1" applyAlignment="1">
      <alignment wrapText="1"/>
    </xf>
    <xf numFmtId="0" fontId="1" fillId="10" borderId="51" xfId="0" applyFont="1" applyFill="1" applyBorder="1" applyAlignment="1">
      <alignment wrapText="1"/>
    </xf>
    <xf numFmtId="0" fontId="21" fillId="11" borderId="52" xfId="0" applyFont="1" applyFill="1" applyBorder="1" applyAlignment="1">
      <alignment horizontal="center" vertical="center" wrapText="1"/>
    </xf>
    <xf numFmtId="0" fontId="21" fillId="12" borderId="53" xfId="0" applyFont="1" applyFill="1" applyBorder="1" applyAlignment="1">
      <alignment horizontal="center" vertical="center" wrapText="1"/>
    </xf>
    <xf numFmtId="0" fontId="21" fillId="11" borderId="54" xfId="0" applyFont="1" applyFill="1" applyBorder="1" applyAlignment="1">
      <alignment horizontal="center" vertical="center" wrapText="1"/>
    </xf>
    <xf numFmtId="0" fontId="21" fillId="11" borderId="55" xfId="0" applyFont="1" applyFill="1" applyBorder="1" applyAlignment="1">
      <alignment horizontal="center" vertical="center" wrapText="1"/>
    </xf>
  </cellXfs>
  <cellStyles count="2">
    <cellStyle name="Moeda" xfId="1" builtinId="4"/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</dxfs>
  <tableStyles count="3" defaultTableStyle="TableStyleMedium2" defaultPivotStyle="PivotStyleLight16">
    <tableStyle name="Tipo de Conta-style" pivot="0" count="3" xr9:uid="{00000000-0011-0000-FFFF-FFFF00000000}">
      <tableStyleElement type="headerRow" dxfId="9"/>
      <tableStyleElement type="firstRowStripe" dxfId="8"/>
      <tableStyleElement type="secondRowStripe" dxfId="7"/>
    </tableStyle>
    <tableStyle name="Planilha3-style" pivot="0" count="3" xr9:uid="{00000000-0011-0000-FFFF-FFFF01000000}">
      <tableStyleElement type="headerRow" dxfId="6"/>
      <tableStyleElement type="firstRowStripe" dxfId="5"/>
      <tableStyleElement type="secondRowStripe" dxfId="4"/>
    </tableStyle>
    <tableStyle name="Planilha2-style" pivot="0" count="3" xr9:uid="{00000000-0011-0000-FFFF-FFFF02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048576"/>
  <sheetViews>
    <sheetView zoomScale="70" zoomScaleNormal="70" workbookViewId="0">
      <pane ySplit="1" topLeftCell="A87" activePane="bottomLeft" state="frozen"/>
      <selection activeCell="W1" sqref="W1"/>
      <selection pane="bottomLeft" activeCell="A590" sqref="A590:A610"/>
    </sheetView>
  </sheetViews>
  <sheetFormatPr defaultColWidth="14.42578125" defaultRowHeight="15" customHeight="1" x14ac:dyDescent="0.25"/>
  <cols>
    <col min="1" max="1" width="21.140625" customWidth="1"/>
    <col min="2" max="2" width="27.7109375" customWidth="1"/>
    <col min="3" max="4" width="9.42578125" customWidth="1"/>
    <col min="5" max="5" width="15.140625" customWidth="1"/>
    <col min="6" max="6" width="30.85546875" customWidth="1"/>
    <col min="7" max="7" width="9.42578125" customWidth="1"/>
    <col min="8" max="8" width="12.28515625" customWidth="1"/>
    <col min="9" max="9" width="10.7109375" bestFit="1" customWidth="1"/>
    <col min="10" max="11" width="19.85546875" customWidth="1"/>
    <col min="12" max="12" width="12.28515625" customWidth="1"/>
    <col min="13" max="13" width="11.28515625" customWidth="1"/>
    <col min="14" max="14" width="12.28515625" customWidth="1"/>
    <col min="15" max="15" width="48.42578125" customWidth="1"/>
    <col min="16" max="16" width="12.28515625" customWidth="1"/>
    <col min="17" max="17" width="48.42578125" customWidth="1"/>
    <col min="18" max="18" width="12.28515625" customWidth="1"/>
    <col min="19" max="19" width="16.28515625" customWidth="1"/>
    <col min="20" max="20" width="13.7109375" customWidth="1"/>
    <col min="21" max="21" width="16.28515625" customWidth="1"/>
    <col min="22" max="22" width="53" customWidth="1"/>
    <col min="23" max="23" width="43.42578125" customWidth="1"/>
    <col min="24" max="24" width="34.140625" customWidth="1"/>
    <col min="25" max="25" width="20.5703125" customWidth="1"/>
    <col min="26" max="26" width="26.28515625" customWidth="1"/>
    <col min="27" max="27" width="10.7109375" bestFit="1" customWidth="1"/>
    <col min="28" max="28" width="28" style="150" customWidth="1"/>
    <col min="29" max="29" width="42" style="163" customWidth="1"/>
    <col min="30" max="30" width="17" customWidth="1"/>
    <col min="31" max="31" width="10.7109375" bestFit="1" customWidth="1"/>
    <col min="32" max="32" width="12.28515625" customWidth="1"/>
    <col min="33" max="33" width="19.85546875" style="199" customWidth="1"/>
    <col min="34" max="34" width="15.5703125" style="130" customWidth="1"/>
    <col min="35" max="35" width="10.7109375" bestFit="1" customWidth="1"/>
    <col min="36" max="36" width="12.28515625" customWidth="1"/>
    <col min="37" max="37" width="18.42578125" style="163" customWidth="1"/>
    <col min="38" max="38" width="11.5703125" customWidth="1"/>
    <col min="39" max="39" width="10.85546875" customWidth="1"/>
  </cols>
  <sheetData>
    <row r="1" spans="1:39" ht="38.25" x14ac:dyDescent="0.25">
      <c r="A1" s="115" t="s">
        <v>722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16" t="s">
        <v>0</v>
      </c>
      <c r="I1" s="2" t="s">
        <v>7</v>
      </c>
      <c r="J1" s="3" t="s">
        <v>8</v>
      </c>
      <c r="K1" s="3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14</v>
      </c>
      <c r="S1" s="2" t="s">
        <v>16</v>
      </c>
      <c r="T1" s="2" t="s">
        <v>17</v>
      </c>
      <c r="U1" s="2" t="s">
        <v>18</v>
      </c>
      <c r="V1" s="4" t="s">
        <v>19</v>
      </c>
      <c r="W1" s="4" t="s">
        <v>20</v>
      </c>
      <c r="X1" s="4" t="s">
        <v>21</v>
      </c>
      <c r="Y1" s="4" t="s">
        <v>2</v>
      </c>
      <c r="Z1" s="4" t="s">
        <v>22</v>
      </c>
      <c r="AA1" s="117" t="s">
        <v>7</v>
      </c>
      <c r="AB1" s="4" t="s">
        <v>23</v>
      </c>
      <c r="AC1" s="5" t="s">
        <v>24</v>
      </c>
      <c r="AD1" s="2" t="s">
        <v>25</v>
      </c>
      <c r="AE1" s="6" t="s">
        <v>7</v>
      </c>
      <c r="AF1" s="2" t="s">
        <v>26</v>
      </c>
      <c r="AG1" s="3" t="s">
        <v>27</v>
      </c>
      <c r="AH1" s="2" t="s">
        <v>28</v>
      </c>
      <c r="AI1" s="2" t="s">
        <v>7</v>
      </c>
      <c r="AJ1" s="118" t="s">
        <v>29</v>
      </c>
      <c r="AK1" s="3" t="s">
        <v>30</v>
      </c>
      <c r="AL1" s="2" t="s">
        <v>31</v>
      </c>
      <c r="AM1" s="2" t="s">
        <v>32</v>
      </c>
    </row>
    <row r="2" spans="1:39" x14ac:dyDescent="0.25">
      <c r="A2" s="59" t="s">
        <v>723</v>
      </c>
      <c r="B2" s="282" t="s">
        <v>33</v>
      </c>
      <c r="C2" s="289"/>
      <c r="D2" s="289"/>
      <c r="E2" s="289" t="s">
        <v>34</v>
      </c>
      <c r="F2" s="289" t="s">
        <v>35</v>
      </c>
      <c r="G2" s="285">
        <v>38</v>
      </c>
      <c r="H2" s="280">
        <v>44927</v>
      </c>
      <c r="I2" s="329">
        <v>23418255</v>
      </c>
      <c r="J2" s="272">
        <v>1227432.73</v>
      </c>
      <c r="K2" s="272">
        <v>1227432.73</v>
      </c>
      <c r="L2" s="280">
        <v>45184</v>
      </c>
      <c r="M2" s="278">
        <v>180</v>
      </c>
      <c r="N2" s="280">
        <v>45427</v>
      </c>
      <c r="O2" s="278" t="s">
        <v>36</v>
      </c>
      <c r="P2" s="278">
        <v>23429194</v>
      </c>
      <c r="Q2" s="278" t="s">
        <v>36</v>
      </c>
      <c r="R2" s="278">
        <v>23429194</v>
      </c>
      <c r="S2" s="11"/>
      <c r="T2" s="9"/>
      <c r="U2" s="11"/>
      <c r="V2" s="9"/>
      <c r="W2" s="11"/>
      <c r="X2" s="11"/>
      <c r="Y2" s="11"/>
      <c r="Z2" s="11">
        <v>240</v>
      </c>
      <c r="AA2" s="60">
        <v>25576014</v>
      </c>
      <c r="AB2" s="9">
        <v>45373</v>
      </c>
      <c r="AC2" s="152">
        <v>392241.21</v>
      </c>
      <c r="AD2" s="11" t="s">
        <v>37</v>
      </c>
      <c r="AE2" s="12">
        <v>23502029</v>
      </c>
      <c r="AF2" s="9">
        <v>45254</v>
      </c>
      <c r="AG2" s="152">
        <v>1227432.73</v>
      </c>
      <c r="AH2" s="11" t="s">
        <v>38</v>
      </c>
      <c r="AI2" s="11">
        <v>27095532</v>
      </c>
      <c r="AJ2" s="9">
        <v>45377</v>
      </c>
      <c r="AK2" s="152">
        <v>392241.21</v>
      </c>
      <c r="AL2" s="11"/>
      <c r="AM2" s="13" t="s">
        <v>39</v>
      </c>
    </row>
    <row r="3" spans="1:39" x14ac:dyDescent="0.25">
      <c r="A3" s="59" t="s">
        <v>723</v>
      </c>
      <c r="B3" s="288"/>
      <c r="C3" s="290"/>
      <c r="D3" s="290"/>
      <c r="E3" s="290"/>
      <c r="F3" s="290"/>
      <c r="G3" s="292"/>
      <c r="H3" s="293"/>
      <c r="I3" s="330"/>
      <c r="J3" s="281"/>
      <c r="K3" s="281"/>
      <c r="L3" s="293"/>
      <c r="M3" s="276"/>
      <c r="N3" s="293"/>
      <c r="O3" s="276"/>
      <c r="P3" s="276"/>
      <c r="Q3" s="276"/>
      <c r="R3" s="276"/>
      <c r="S3" s="133"/>
      <c r="T3" s="171"/>
      <c r="U3" s="133"/>
      <c r="V3" s="171"/>
      <c r="W3" s="133"/>
      <c r="X3" s="133"/>
      <c r="Y3" s="133"/>
      <c r="Z3" s="133">
        <v>243</v>
      </c>
      <c r="AA3" s="136">
        <v>27733157</v>
      </c>
      <c r="AB3" s="171">
        <v>45439</v>
      </c>
      <c r="AC3" s="172">
        <v>441256.33</v>
      </c>
      <c r="AD3" s="133" t="s">
        <v>40</v>
      </c>
      <c r="AE3" s="173">
        <v>27764501</v>
      </c>
      <c r="AF3" s="171">
        <v>45485</v>
      </c>
      <c r="AG3" s="172">
        <v>395935.19</v>
      </c>
      <c r="AH3" t="s">
        <v>730</v>
      </c>
      <c r="AI3" s="133">
        <v>28496077</v>
      </c>
      <c r="AJ3" s="171">
        <v>45488</v>
      </c>
      <c r="AK3" s="196">
        <v>441256.33</v>
      </c>
      <c r="AL3" s="133"/>
      <c r="AM3" s="13" t="s">
        <v>39</v>
      </c>
    </row>
    <row r="4" spans="1:39" x14ac:dyDescent="0.25">
      <c r="A4" s="59" t="s">
        <v>723</v>
      </c>
      <c r="B4" s="288"/>
      <c r="C4" s="290"/>
      <c r="D4" s="290"/>
      <c r="E4" s="290"/>
      <c r="F4" s="290"/>
      <c r="G4" s="292"/>
      <c r="H4" s="293"/>
      <c r="I4" s="330"/>
      <c r="J4" s="281"/>
      <c r="K4" s="281"/>
      <c r="L4" s="293"/>
      <c r="M4" s="276"/>
      <c r="N4" s="293"/>
      <c r="O4" s="276"/>
      <c r="P4" s="276"/>
      <c r="Q4" s="276"/>
      <c r="R4" s="276"/>
      <c r="S4" s="133"/>
      <c r="T4" s="171"/>
      <c r="U4" s="133"/>
      <c r="V4" s="171"/>
      <c r="W4" s="133"/>
      <c r="X4" s="133"/>
      <c r="Y4" s="133"/>
      <c r="Z4" s="133">
        <v>249</v>
      </c>
      <c r="AA4" s="136">
        <v>28276985</v>
      </c>
      <c r="AB4" s="171">
        <v>45506</v>
      </c>
      <c r="AC4" s="172">
        <v>202394.67</v>
      </c>
      <c r="AD4" s="133" t="s">
        <v>40</v>
      </c>
      <c r="AE4" s="173">
        <v>27764501</v>
      </c>
      <c r="AF4" s="171">
        <v>45485</v>
      </c>
      <c r="AG4" s="172"/>
      <c r="AH4" t="s">
        <v>731</v>
      </c>
      <c r="AI4" s="133">
        <v>30100292</v>
      </c>
      <c r="AJ4" s="171">
        <v>45533</v>
      </c>
      <c r="AK4" s="196">
        <v>202394.67</v>
      </c>
      <c r="AL4" s="133"/>
      <c r="AM4" s="13" t="s">
        <v>39</v>
      </c>
    </row>
    <row r="5" spans="1:39" x14ac:dyDescent="0.25">
      <c r="A5" s="59" t="s">
        <v>723</v>
      </c>
      <c r="B5" s="288"/>
      <c r="C5" s="290"/>
      <c r="D5" s="290"/>
      <c r="E5" s="290"/>
      <c r="F5" s="290"/>
      <c r="G5" s="292"/>
      <c r="H5" s="293"/>
      <c r="I5" s="330"/>
      <c r="J5" s="281"/>
      <c r="K5" s="281"/>
      <c r="L5" s="293"/>
      <c r="M5" s="276"/>
      <c r="N5" s="293"/>
      <c r="O5" s="276"/>
      <c r="P5" s="276"/>
      <c r="Q5" s="276"/>
      <c r="R5" s="276"/>
      <c r="S5" s="133"/>
      <c r="T5" s="171"/>
      <c r="U5" s="133"/>
      <c r="V5" s="171"/>
      <c r="W5" s="133"/>
      <c r="X5" s="133"/>
      <c r="Y5" s="133"/>
      <c r="Z5" s="133">
        <v>9</v>
      </c>
      <c r="AA5" s="136">
        <v>32948700</v>
      </c>
      <c r="AB5" s="171">
        <v>45748</v>
      </c>
      <c r="AC5" s="172">
        <v>300546.64</v>
      </c>
      <c r="AD5" s="133" t="s">
        <v>40</v>
      </c>
      <c r="AE5" s="173">
        <v>27764501</v>
      </c>
      <c r="AF5" s="171">
        <v>45485</v>
      </c>
      <c r="AG5" s="172"/>
      <c r="AH5" t="s">
        <v>792</v>
      </c>
      <c r="AI5" s="133">
        <v>35133145</v>
      </c>
      <c r="AJ5" s="171">
        <v>45777</v>
      </c>
      <c r="AK5" s="196">
        <v>191540.52</v>
      </c>
      <c r="AL5" s="133"/>
      <c r="AM5" s="13" t="s">
        <v>39</v>
      </c>
    </row>
    <row r="6" spans="1:39" x14ac:dyDescent="0.25">
      <c r="A6" s="59" t="s">
        <v>723</v>
      </c>
      <c r="B6" s="288"/>
      <c r="C6" s="290"/>
      <c r="D6" s="290"/>
      <c r="E6" s="290"/>
      <c r="F6" s="290"/>
      <c r="G6" s="292"/>
      <c r="H6" s="293"/>
      <c r="I6" s="330"/>
      <c r="J6" s="281"/>
      <c r="K6" s="281"/>
      <c r="L6" s="293"/>
      <c r="M6" s="276"/>
      <c r="N6" s="293"/>
      <c r="O6" s="276"/>
      <c r="P6" s="276"/>
      <c r="Q6" s="276"/>
      <c r="R6" s="276"/>
      <c r="S6" s="133"/>
      <c r="T6" s="171"/>
      <c r="U6" s="133"/>
      <c r="V6" s="171"/>
      <c r="W6" s="133"/>
      <c r="X6" s="133"/>
      <c r="Y6" s="133"/>
      <c r="Z6" s="133">
        <v>9</v>
      </c>
      <c r="AA6" s="136">
        <v>32948700</v>
      </c>
      <c r="AB6" s="171">
        <v>45748</v>
      </c>
      <c r="AC6" s="172">
        <v>300546.64</v>
      </c>
      <c r="AD6" s="133" t="s">
        <v>40</v>
      </c>
      <c r="AE6" s="173">
        <v>27764501</v>
      </c>
      <c r="AF6" s="171">
        <v>45485</v>
      </c>
      <c r="AG6" s="172"/>
      <c r="AH6" t="s">
        <v>793</v>
      </c>
      <c r="AI6" s="133">
        <v>35133197</v>
      </c>
      <c r="AJ6" s="171">
        <v>45777</v>
      </c>
      <c r="AK6" s="196">
        <v>109006.12</v>
      </c>
      <c r="AL6" s="133"/>
      <c r="AM6" s="13" t="s">
        <v>39</v>
      </c>
    </row>
    <row r="7" spans="1:39" x14ac:dyDescent="0.25">
      <c r="A7" s="59" t="s">
        <v>723</v>
      </c>
      <c r="B7" s="288"/>
      <c r="C7" s="290"/>
      <c r="D7" s="290"/>
      <c r="E7" s="290"/>
      <c r="F7" s="290"/>
      <c r="G7" s="292"/>
      <c r="H7" s="293"/>
      <c r="I7" s="330"/>
      <c r="J7" s="281"/>
      <c r="K7" s="281"/>
      <c r="L7" s="293"/>
      <c r="M7" s="276"/>
      <c r="N7" s="293"/>
      <c r="O7" s="276"/>
      <c r="P7" s="276"/>
      <c r="Q7" s="276"/>
      <c r="R7" s="276"/>
      <c r="S7" s="133"/>
      <c r="T7" s="171"/>
      <c r="U7" s="133"/>
      <c r="V7" s="171"/>
      <c r="W7" s="133"/>
      <c r="X7" s="133"/>
      <c r="Y7" s="133"/>
      <c r="Z7" s="133">
        <v>9</v>
      </c>
      <c r="AA7" s="136">
        <v>32948700</v>
      </c>
      <c r="AB7" s="171">
        <v>45748</v>
      </c>
      <c r="AC7" s="172">
        <v>300546.64</v>
      </c>
      <c r="AD7" s="133" t="s">
        <v>40</v>
      </c>
      <c r="AE7" s="173">
        <v>27764501</v>
      </c>
      <c r="AF7" s="171">
        <v>45485</v>
      </c>
      <c r="AG7" s="172"/>
      <c r="AH7" t="s">
        <v>794</v>
      </c>
      <c r="AI7" s="133">
        <v>37234244</v>
      </c>
      <c r="AJ7" s="171">
        <v>45866</v>
      </c>
      <c r="AK7" s="196">
        <v>108485.25</v>
      </c>
      <c r="AL7" s="133"/>
      <c r="AM7" s="13" t="s">
        <v>39</v>
      </c>
    </row>
    <row r="8" spans="1:39" x14ac:dyDescent="0.25">
      <c r="A8" s="59" t="s">
        <v>723</v>
      </c>
      <c r="B8" s="284"/>
      <c r="C8" s="291"/>
      <c r="D8" s="291"/>
      <c r="E8" s="291"/>
      <c r="F8" s="291"/>
      <c r="G8" s="287"/>
      <c r="H8" s="279"/>
      <c r="I8" s="279"/>
      <c r="J8" s="279"/>
      <c r="K8" s="279"/>
      <c r="L8" s="279"/>
      <c r="M8" s="279"/>
      <c r="N8" s="279"/>
      <c r="O8" s="279"/>
      <c r="P8" s="279"/>
      <c r="Q8" s="279"/>
      <c r="R8" s="279"/>
      <c r="S8" s="133"/>
      <c r="T8" s="171"/>
      <c r="U8" s="133"/>
      <c r="V8" s="171"/>
      <c r="W8" s="133"/>
      <c r="X8" s="133"/>
      <c r="Y8" s="133"/>
      <c r="Z8" s="133">
        <v>9</v>
      </c>
      <c r="AA8" s="136">
        <v>32948700</v>
      </c>
      <c r="AB8" s="171">
        <v>45748</v>
      </c>
      <c r="AC8" s="172">
        <v>300546.64</v>
      </c>
      <c r="AD8" s="133" t="s">
        <v>40</v>
      </c>
      <c r="AE8" s="173">
        <v>27764501</v>
      </c>
      <c r="AF8" s="171">
        <v>45485</v>
      </c>
      <c r="AG8" s="172"/>
      <c r="AH8" t="s">
        <v>795</v>
      </c>
      <c r="AI8" s="133">
        <v>39145695</v>
      </c>
      <c r="AJ8" s="171">
        <v>46001</v>
      </c>
      <c r="AK8" s="196">
        <v>21351.46</v>
      </c>
      <c r="AL8" s="133"/>
      <c r="AM8" s="13" t="s">
        <v>39</v>
      </c>
    </row>
    <row r="9" spans="1:39" x14ac:dyDescent="0.25">
      <c r="A9" s="59" t="s">
        <v>724</v>
      </c>
      <c r="B9" s="282" t="s">
        <v>41</v>
      </c>
      <c r="C9" s="333"/>
      <c r="D9" s="333"/>
      <c r="E9" s="333" t="s">
        <v>34</v>
      </c>
      <c r="F9" s="333" t="s">
        <v>35</v>
      </c>
      <c r="G9" s="334">
        <v>74</v>
      </c>
      <c r="H9" s="335">
        <v>44562</v>
      </c>
      <c r="I9" s="336">
        <v>17331973</v>
      </c>
      <c r="J9" s="337">
        <v>1238711.28</v>
      </c>
      <c r="K9" s="337">
        <v>1238711.28</v>
      </c>
      <c r="L9" s="335">
        <v>44906</v>
      </c>
      <c r="M9" s="336">
        <v>210</v>
      </c>
      <c r="N9" s="335">
        <v>45086</v>
      </c>
      <c r="O9" s="336" t="s">
        <v>36</v>
      </c>
      <c r="P9" s="336">
        <v>17336694</v>
      </c>
      <c r="Q9" s="336" t="s">
        <v>36</v>
      </c>
      <c r="R9" s="336">
        <v>17336694</v>
      </c>
      <c r="S9" s="177"/>
      <c r="T9" s="178"/>
      <c r="U9" s="177"/>
      <c r="V9" s="178"/>
      <c r="W9" s="177"/>
      <c r="X9" s="177"/>
      <c r="Y9" s="177"/>
      <c r="Z9" s="177">
        <v>265</v>
      </c>
      <c r="AA9" s="179">
        <v>19364605</v>
      </c>
      <c r="AB9" s="178">
        <v>45006</v>
      </c>
      <c r="AC9" s="180">
        <v>132174.1</v>
      </c>
      <c r="AD9" s="177" t="s">
        <v>42</v>
      </c>
      <c r="AE9" s="181">
        <v>17406956</v>
      </c>
      <c r="AF9" s="178">
        <v>44887</v>
      </c>
      <c r="AG9" s="180">
        <v>1238711.28</v>
      </c>
      <c r="AH9" s="177" t="s">
        <v>43</v>
      </c>
      <c r="AI9" s="177">
        <v>20274106</v>
      </c>
      <c r="AJ9" s="178">
        <v>45033</v>
      </c>
      <c r="AK9" s="180">
        <v>132174.1</v>
      </c>
      <c r="AL9" s="177"/>
      <c r="AM9" s="182" t="s">
        <v>44</v>
      </c>
    </row>
    <row r="10" spans="1:39" x14ac:dyDescent="0.25">
      <c r="A10" s="59" t="s">
        <v>724</v>
      </c>
      <c r="B10" s="288"/>
      <c r="C10" s="290"/>
      <c r="D10" s="290"/>
      <c r="E10" s="290"/>
      <c r="F10" s="290"/>
      <c r="G10" s="292"/>
      <c r="H10" s="293"/>
      <c r="I10" s="276"/>
      <c r="J10" s="281"/>
      <c r="K10" s="281"/>
      <c r="L10" s="293"/>
      <c r="M10" s="276"/>
      <c r="N10" s="293"/>
      <c r="O10" s="276"/>
      <c r="P10" s="276"/>
      <c r="Q10" s="276"/>
      <c r="R10" s="276"/>
      <c r="S10" s="149"/>
      <c r="T10" s="174"/>
      <c r="U10" s="149"/>
      <c r="V10" s="174"/>
      <c r="W10" s="149"/>
      <c r="X10" s="149"/>
      <c r="Y10" s="149"/>
      <c r="Z10" s="149">
        <v>267</v>
      </c>
      <c r="AA10" s="146">
        <v>19961055</v>
      </c>
      <c r="AB10" s="174">
        <v>45048</v>
      </c>
      <c r="AC10" s="175">
        <v>95470.13</v>
      </c>
      <c r="AD10" s="149" t="s">
        <v>42</v>
      </c>
      <c r="AE10" s="176">
        <v>17406956</v>
      </c>
      <c r="AF10" s="174">
        <v>44887</v>
      </c>
      <c r="AG10" s="175">
        <v>1238711.28</v>
      </c>
      <c r="AH10" s="149" t="s">
        <v>746</v>
      </c>
      <c r="AI10" s="149">
        <v>20404878</v>
      </c>
      <c r="AJ10" s="174">
        <v>45069</v>
      </c>
      <c r="AK10" s="175">
        <v>95470.13</v>
      </c>
      <c r="AL10" s="149"/>
      <c r="AM10" s="183" t="s">
        <v>44</v>
      </c>
    </row>
    <row r="11" spans="1:39" x14ac:dyDescent="0.25">
      <c r="A11" s="59" t="s">
        <v>724</v>
      </c>
      <c r="B11" s="288"/>
      <c r="C11" s="290"/>
      <c r="D11" s="290"/>
      <c r="E11" s="290"/>
      <c r="F11" s="290"/>
      <c r="G11" s="292"/>
      <c r="H11" s="293"/>
      <c r="I11" s="276"/>
      <c r="J11" s="281"/>
      <c r="K11" s="281"/>
      <c r="L11" s="293"/>
      <c r="M11" s="276"/>
      <c r="N11" s="293"/>
      <c r="O11" s="276"/>
      <c r="P11" s="276"/>
      <c r="Q11" s="276"/>
      <c r="R11" s="276"/>
      <c r="S11" s="149"/>
      <c r="T11" s="174"/>
      <c r="U11" s="149"/>
      <c r="V11" s="174"/>
      <c r="W11" s="149"/>
      <c r="X11" s="149"/>
      <c r="Y11" s="149"/>
      <c r="Z11" s="149">
        <v>273</v>
      </c>
      <c r="AA11" s="146">
        <v>20526878</v>
      </c>
      <c r="AB11" s="174">
        <v>45078</v>
      </c>
      <c r="AC11" s="175">
        <v>127662.03</v>
      </c>
      <c r="AD11" s="149" t="s">
        <v>42</v>
      </c>
      <c r="AE11" s="176">
        <v>17406956</v>
      </c>
      <c r="AF11" s="174">
        <v>44887</v>
      </c>
      <c r="AG11" s="175">
        <v>1238711.28</v>
      </c>
      <c r="AH11" t="s">
        <v>747</v>
      </c>
      <c r="AI11" s="149">
        <v>20806831</v>
      </c>
      <c r="AJ11" s="131">
        <v>45092</v>
      </c>
      <c r="AK11" s="175">
        <v>127662.03</v>
      </c>
      <c r="AL11" s="149"/>
      <c r="AM11" s="183" t="s">
        <v>44</v>
      </c>
    </row>
    <row r="12" spans="1:39" x14ac:dyDescent="0.25">
      <c r="A12" s="59" t="s">
        <v>724</v>
      </c>
      <c r="B12" s="288"/>
      <c r="C12" s="290"/>
      <c r="D12" s="290"/>
      <c r="E12" s="290"/>
      <c r="F12" s="290"/>
      <c r="G12" s="292"/>
      <c r="H12" s="293"/>
      <c r="I12" s="276"/>
      <c r="J12" s="281"/>
      <c r="K12" s="281"/>
      <c r="L12" s="293"/>
      <c r="M12" s="276"/>
      <c r="N12" s="293"/>
      <c r="O12" s="276"/>
      <c r="P12" s="276"/>
      <c r="Q12" s="276"/>
      <c r="R12" s="276"/>
      <c r="S12" s="149"/>
      <c r="T12" s="174"/>
      <c r="U12" s="149"/>
      <c r="V12" s="174"/>
      <c r="W12" s="149"/>
      <c r="X12" s="149"/>
      <c r="Y12" s="149"/>
      <c r="Z12" s="149">
        <v>275</v>
      </c>
      <c r="AA12" s="146">
        <v>20981880</v>
      </c>
      <c r="AB12" s="174">
        <v>45110</v>
      </c>
      <c r="AC12" s="175">
        <v>113758.39</v>
      </c>
      <c r="AD12" s="149" t="s">
        <v>42</v>
      </c>
      <c r="AE12" s="176">
        <v>17406956</v>
      </c>
      <c r="AF12" s="174">
        <v>44887</v>
      </c>
      <c r="AG12" s="175">
        <v>1238711.28</v>
      </c>
      <c r="AH12" t="s">
        <v>748</v>
      </c>
      <c r="AI12" s="149">
        <v>21274902</v>
      </c>
      <c r="AJ12" s="131">
        <v>45118</v>
      </c>
      <c r="AK12" s="175">
        <v>113758.39</v>
      </c>
      <c r="AL12" s="149"/>
      <c r="AM12" s="183" t="s">
        <v>44</v>
      </c>
    </row>
    <row r="13" spans="1:39" x14ac:dyDescent="0.25">
      <c r="A13" s="59" t="s">
        <v>724</v>
      </c>
      <c r="B13" s="288"/>
      <c r="C13" s="290"/>
      <c r="D13" s="290"/>
      <c r="E13" s="290"/>
      <c r="F13" s="290"/>
      <c r="G13" s="292"/>
      <c r="H13" s="293"/>
      <c r="I13" s="276"/>
      <c r="J13" s="281"/>
      <c r="K13" s="281"/>
      <c r="L13" s="293"/>
      <c r="M13" s="276"/>
      <c r="N13" s="293"/>
      <c r="O13" s="276"/>
      <c r="P13" s="276"/>
      <c r="Q13" s="276"/>
      <c r="R13" s="276"/>
      <c r="S13" s="149"/>
      <c r="T13" s="174"/>
      <c r="U13" s="149"/>
      <c r="V13" s="174"/>
      <c r="W13" s="149"/>
      <c r="X13" s="149"/>
      <c r="Y13" s="149"/>
      <c r="Z13" s="149">
        <v>285</v>
      </c>
      <c r="AA13" s="146">
        <v>21681423</v>
      </c>
      <c r="AB13" s="174">
        <v>45147</v>
      </c>
      <c r="AC13" s="175">
        <v>281737.31</v>
      </c>
      <c r="AD13" s="149" t="s">
        <v>42</v>
      </c>
      <c r="AE13" s="176">
        <v>17406956</v>
      </c>
      <c r="AF13" s="174">
        <v>44887</v>
      </c>
      <c r="AG13" s="175">
        <v>1238711.28</v>
      </c>
      <c r="AH13" t="s">
        <v>749</v>
      </c>
      <c r="AI13" s="149">
        <v>21820338</v>
      </c>
      <c r="AJ13" s="131">
        <v>45152</v>
      </c>
      <c r="AK13" s="175">
        <v>278356.46000000002</v>
      </c>
      <c r="AL13" s="149"/>
      <c r="AM13" s="183" t="s">
        <v>44</v>
      </c>
    </row>
    <row r="14" spans="1:39" x14ac:dyDescent="0.25">
      <c r="A14" s="59" t="s">
        <v>724</v>
      </c>
      <c r="B14" s="288"/>
      <c r="C14" s="290"/>
      <c r="D14" s="290"/>
      <c r="E14" s="290"/>
      <c r="F14" s="290"/>
      <c r="G14" s="292"/>
      <c r="H14" s="293"/>
      <c r="I14" s="276"/>
      <c r="J14" s="281"/>
      <c r="K14" s="281"/>
      <c r="L14" s="293"/>
      <c r="M14" s="276"/>
      <c r="N14" s="293"/>
      <c r="O14" s="276"/>
      <c r="P14" s="276"/>
      <c r="Q14" s="276"/>
      <c r="R14" s="276"/>
      <c r="S14" s="149"/>
      <c r="T14" s="174"/>
      <c r="U14" s="149"/>
      <c r="V14" s="174"/>
      <c r="W14" s="149"/>
      <c r="X14" s="149"/>
      <c r="Y14" s="149"/>
      <c r="Z14" s="149"/>
      <c r="AA14" s="146"/>
      <c r="AB14" s="174"/>
      <c r="AC14" s="175"/>
      <c r="AD14" s="149" t="s">
        <v>42</v>
      </c>
      <c r="AE14" s="176">
        <v>17406956</v>
      </c>
      <c r="AF14" s="174">
        <v>44887</v>
      </c>
      <c r="AG14" s="175">
        <v>1238711.28</v>
      </c>
      <c r="AH14" t="s">
        <v>750</v>
      </c>
      <c r="AI14" s="149">
        <v>21820404</v>
      </c>
      <c r="AJ14" s="131">
        <v>45153</v>
      </c>
      <c r="AK14" s="175">
        <v>3380.85</v>
      </c>
      <c r="AL14" s="149"/>
      <c r="AM14" s="183" t="s">
        <v>44</v>
      </c>
    </row>
    <row r="15" spans="1:39" x14ac:dyDescent="0.25">
      <c r="A15" s="59" t="s">
        <v>724</v>
      </c>
      <c r="B15" s="288"/>
      <c r="C15" s="290"/>
      <c r="D15" s="290"/>
      <c r="E15" s="290"/>
      <c r="F15" s="290"/>
      <c r="G15" s="292"/>
      <c r="H15" s="293"/>
      <c r="I15" s="276"/>
      <c r="J15" s="281"/>
      <c r="K15" s="281"/>
      <c r="L15" s="293"/>
      <c r="M15" s="276"/>
      <c r="N15" s="293"/>
      <c r="O15" s="276"/>
      <c r="P15" s="276"/>
      <c r="Q15" s="276"/>
      <c r="R15" s="276"/>
      <c r="S15" s="149"/>
      <c r="T15" s="174"/>
      <c r="U15" s="149"/>
      <c r="V15" s="174"/>
      <c r="W15" s="149"/>
      <c r="X15" s="149"/>
      <c r="Y15" s="149"/>
      <c r="Z15" s="149">
        <v>292</v>
      </c>
      <c r="AA15" s="146">
        <v>22413373</v>
      </c>
      <c r="AB15" s="174">
        <v>45189</v>
      </c>
      <c r="AC15" s="175">
        <v>158547.46</v>
      </c>
      <c r="AD15" t="s">
        <v>756</v>
      </c>
      <c r="AE15" s="176">
        <v>21625663</v>
      </c>
      <c r="AF15" s="174">
        <v>45145</v>
      </c>
      <c r="AG15" s="175">
        <v>515846.01</v>
      </c>
      <c r="AH15" t="s">
        <v>751</v>
      </c>
      <c r="AI15" s="149">
        <v>22642265</v>
      </c>
      <c r="AJ15" s="131">
        <v>45204</v>
      </c>
      <c r="AK15" s="175">
        <v>156644.89000000001</v>
      </c>
      <c r="AL15" s="149"/>
      <c r="AM15" s="183" t="s">
        <v>44</v>
      </c>
    </row>
    <row r="16" spans="1:39" x14ac:dyDescent="0.25">
      <c r="A16" s="59" t="s">
        <v>724</v>
      </c>
      <c r="B16" s="288"/>
      <c r="C16" s="290"/>
      <c r="D16" s="290"/>
      <c r="E16" s="290"/>
      <c r="F16" s="290"/>
      <c r="G16" s="292"/>
      <c r="H16" s="293"/>
      <c r="I16" s="276"/>
      <c r="J16" s="281"/>
      <c r="K16" s="281"/>
      <c r="L16" s="293"/>
      <c r="M16" s="276"/>
      <c r="N16" s="293"/>
      <c r="O16" s="276"/>
      <c r="P16" s="276"/>
      <c r="Q16" s="276"/>
      <c r="R16" s="276"/>
      <c r="S16" s="149"/>
      <c r="T16" s="174"/>
      <c r="U16" s="149"/>
      <c r="V16" s="174"/>
      <c r="W16" s="149"/>
      <c r="X16" s="149"/>
      <c r="Y16" s="149"/>
      <c r="Z16" s="149">
        <v>297</v>
      </c>
      <c r="AA16" s="146">
        <v>23157996</v>
      </c>
      <c r="AB16" s="174">
        <v>45231</v>
      </c>
      <c r="AC16" s="175">
        <v>252301.54</v>
      </c>
      <c r="AD16" t="s">
        <v>756</v>
      </c>
      <c r="AE16" s="176">
        <v>21625663</v>
      </c>
      <c r="AF16" s="174">
        <v>45145</v>
      </c>
      <c r="AG16" s="175">
        <v>515846.01</v>
      </c>
      <c r="AH16" t="s">
        <v>752</v>
      </c>
      <c r="AI16" s="149">
        <v>23697737</v>
      </c>
      <c r="AJ16" s="131">
        <v>45243</v>
      </c>
      <c r="AK16" s="175">
        <v>249273.92</v>
      </c>
      <c r="AL16" s="149"/>
      <c r="AM16" s="183" t="s">
        <v>44</v>
      </c>
    </row>
    <row r="17" spans="1:39" x14ac:dyDescent="0.25">
      <c r="A17" s="59" t="s">
        <v>724</v>
      </c>
      <c r="B17" s="288"/>
      <c r="C17" s="290"/>
      <c r="D17" s="290"/>
      <c r="E17" s="290"/>
      <c r="F17" s="290"/>
      <c r="G17" s="292"/>
      <c r="H17" s="293"/>
      <c r="I17" s="276"/>
      <c r="J17" s="281"/>
      <c r="K17" s="281"/>
      <c r="L17" s="293"/>
      <c r="M17" s="276"/>
      <c r="N17" s="293"/>
      <c r="O17" s="276"/>
      <c r="P17" s="276"/>
      <c r="Q17" s="276"/>
      <c r="R17" s="276"/>
      <c r="S17" s="149"/>
      <c r="T17" s="174"/>
      <c r="U17" s="149"/>
      <c r="V17" s="174"/>
      <c r="W17" s="149"/>
      <c r="X17" s="149"/>
      <c r="Y17" s="149"/>
      <c r="Z17" s="149">
        <v>301</v>
      </c>
      <c r="AA17" s="146">
        <v>23624437</v>
      </c>
      <c r="AB17" s="174">
        <v>45261</v>
      </c>
      <c r="AC17" s="175">
        <v>186524.89</v>
      </c>
      <c r="AD17" t="s">
        <v>756</v>
      </c>
      <c r="AE17" s="176">
        <v>21625663</v>
      </c>
      <c r="AF17" s="174">
        <v>44887</v>
      </c>
      <c r="AG17" s="175">
        <v>515846.01</v>
      </c>
      <c r="AH17" t="s">
        <v>753</v>
      </c>
      <c r="AI17" s="149">
        <v>23952939</v>
      </c>
      <c r="AJ17" s="131">
        <v>45273</v>
      </c>
      <c r="AK17" s="175">
        <v>184286.6</v>
      </c>
      <c r="AL17" s="149"/>
      <c r="AM17" s="183" t="s">
        <v>44</v>
      </c>
    </row>
    <row r="18" spans="1:39" x14ac:dyDescent="0.25">
      <c r="A18" s="59" t="s">
        <v>724</v>
      </c>
      <c r="B18" s="288"/>
      <c r="C18" s="290"/>
      <c r="D18" s="290"/>
      <c r="E18" s="290"/>
      <c r="F18" s="290"/>
      <c r="G18" s="292"/>
      <c r="H18" s="293"/>
      <c r="I18" s="276"/>
      <c r="J18" s="281"/>
      <c r="K18" s="281"/>
      <c r="L18" s="293"/>
      <c r="M18" s="276"/>
      <c r="N18" s="293"/>
      <c r="O18" s="276"/>
      <c r="P18" s="276"/>
      <c r="Q18" s="276"/>
      <c r="R18" s="276"/>
      <c r="S18" s="149"/>
      <c r="T18" s="174"/>
      <c r="U18" s="149"/>
      <c r="V18" s="174"/>
      <c r="W18" s="149"/>
      <c r="X18" s="149"/>
      <c r="Y18" s="149"/>
      <c r="Z18" s="149">
        <v>306</v>
      </c>
      <c r="AA18" s="146">
        <v>23974580</v>
      </c>
      <c r="AB18" s="174">
        <v>45280</v>
      </c>
      <c r="AC18" s="175">
        <v>130953.23</v>
      </c>
      <c r="AD18" s="149" t="s">
        <v>755</v>
      </c>
      <c r="AE18" s="176">
        <v>22641926</v>
      </c>
      <c r="AF18" s="174">
        <v>45204</v>
      </c>
      <c r="AG18" s="175">
        <v>487909.32</v>
      </c>
      <c r="AH18" t="s">
        <v>754</v>
      </c>
      <c r="AI18" s="149">
        <v>24991223</v>
      </c>
      <c r="AJ18" s="131">
        <v>45289</v>
      </c>
      <c r="AK18" s="175">
        <v>129381.79</v>
      </c>
      <c r="AL18" s="149"/>
      <c r="AM18" s="183" t="s">
        <v>44</v>
      </c>
    </row>
    <row r="19" spans="1:39" x14ac:dyDescent="0.25">
      <c r="A19" s="59" t="s">
        <v>724</v>
      </c>
      <c r="B19" s="288"/>
      <c r="C19" s="290"/>
      <c r="D19" s="290"/>
      <c r="E19" s="290"/>
      <c r="F19" s="290"/>
      <c r="G19" s="292"/>
      <c r="H19" s="293"/>
      <c r="I19" s="276"/>
      <c r="J19" s="281"/>
      <c r="K19" s="281"/>
      <c r="L19" s="293"/>
      <c r="M19" s="276"/>
      <c r="N19" s="293"/>
      <c r="O19" s="276"/>
      <c r="P19" s="276"/>
      <c r="Q19" s="276"/>
      <c r="R19" s="276"/>
      <c r="S19" s="149"/>
      <c r="T19" s="174"/>
      <c r="U19" s="149"/>
      <c r="V19" s="174"/>
      <c r="W19" s="149"/>
      <c r="X19" s="149"/>
      <c r="Y19" s="149"/>
      <c r="Z19" s="149">
        <v>313</v>
      </c>
      <c r="AA19" s="146">
        <v>25246258</v>
      </c>
      <c r="AB19" s="174">
        <v>45280</v>
      </c>
      <c r="AC19" s="175">
        <v>176378.16</v>
      </c>
      <c r="AD19" s="149" t="s">
        <v>755</v>
      </c>
      <c r="AE19" s="176">
        <v>22641926</v>
      </c>
      <c r="AF19" s="174">
        <v>45204</v>
      </c>
      <c r="AG19" s="175">
        <v>487909.32</v>
      </c>
      <c r="AH19" t="s">
        <v>757</v>
      </c>
      <c r="AI19" s="149">
        <v>25680199</v>
      </c>
      <c r="AJ19" s="131">
        <v>45365</v>
      </c>
      <c r="AK19" s="175">
        <v>174261.62</v>
      </c>
      <c r="AL19" s="149"/>
      <c r="AM19" s="183" t="s">
        <v>44</v>
      </c>
    </row>
    <row r="20" spans="1:39" x14ac:dyDescent="0.25">
      <c r="A20" s="59" t="s">
        <v>724</v>
      </c>
      <c r="B20" s="288"/>
      <c r="C20" s="290"/>
      <c r="D20" s="290"/>
      <c r="E20" s="290"/>
      <c r="F20" s="290"/>
      <c r="G20" s="292"/>
      <c r="H20" s="293"/>
      <c r="I20" s="276"/>
      <c r="J20" s="281"/>
      <c r="K20" s="281"/>
      <c r="L20" s="293"/>
      <c r="M20" s="276"/>
      <c r="N20" s="293"/>
      <c r="O20" s="276"/>
      <c r="P20" s="276"/>
      <c r="Q20" s="276"/>
      <c r="R20" s="276"/>
      <c r="S20" s="149"/>
      <c r="T20" s="174"/>
      <c r="U20" s="149"/>
      <c r="V20" s="174"/>
      <c r="W20" s="149"/>
      <c r="X20" s="149"/>
      <c r="Y20" s="149"/>
      <c r="Z20" s="149">
        <v>339</v>
      </c>
      <c r="AA20" s="146">
        <v>27624457</v>
      </c>
      <c r="AB20" s="174">
        <v>45476</v>
      </c>
      <c r="AC20" s="175">
        <v>93845.35</v>
      </c>
      <c r="AD20" t="s">
        <v>758</v>
      </c>
      <c r="AE20" s="176">
        <v>27841244</v>
      </c>
      <c r="AF20" s="174">
        <v>45490</v>
      </c>
      <c r="AG20" s="175">
        <v>97050.05</v>
      </c>
      <c r="AH20" t="s">
        <v>732</v>
      </c>
      <c r="AI20" s="149">
        <v>28600264</v>
      </c>
      <c r="AJ20" s="131">
        <v>45497</v>
      </c>
      <c r="AK20" s="175">
        <v>92719.21</v>
      </c>
      <c r="AL20" s="149"/>
      <c r="AM20" s="183" t="s">
        <v>44</v>
      </c>
    </row>
    <row r="21" spans="1:39" x14ac:dyDescent="0.25">
      <c r="A21" s="59" t="s">
        <v>724</v>
      </c>
      <c r="B21" s="288"/>
      <c r="C21" s="290"/>
      <c r="D21" s="290"/>
      <c r="E21" s="290"/>
      <c r="F21" s="290"/>
      <c r="G21" s="292"/>
      <c r="H21" s="293"/>
      <c r="I21" s="276"/>
      <c r="J21" s="281"/>
      <c r="K21" s="281"/>
      <c r="L21" s="293"/>
      <c r="M21" s="276"/>
      <c r="N21" s="293"/>
      <c r="O21" s="276"/>
      <c r="P21" s="276"/>
      <c r="Q21" s="276"/>
      <c r="R21" s="276"/>
      <c r="S21" s="149"/>
      <c r="T21" s="174"/>
      <c r="U21" s="149"/>
      <c r="V21" s="174"/>
      <c r="W21" s="149"/>
      <c r="X21" s="149"/>
      <c r="Y21" s="149"/>
      <c r="Z21" s="149"/>
      <c r="AA21" s="146"/>
      <c r="AB21" s="174"/>
      <c r="AC21" s="175"/>
      <c r="AD21" t="s">
        <v>759</v>
      </c>
      <c r="AE21" s="176">
        <v>28480622</v>
      </c>
      <c r="AF21" s="174">
        <v>45454</v>
      </c>
      <c r="AG21" s="175">
        <v>38448.120000000003</v>
      </c>
      <c r="AH21" t="s">
        <v>733</v>
      </c>
      <c r="AI21" s="149">
        <v>30530983</v>
      </c>
      <c r="AJ21" s="131">
        <v>45531</v>
      </c>
      <c r="AK21" s="175">
        <v>31105.9</v>
      </c>
      <c r="AL21" s="149"/>
      <c r="AM21" s="183" t="s">
        <v>44</v>
      </c>
    </row>
    <row r="22" spans="1:39" x14ac:dyDescent="0.25">
      <c r="A22" s="59" t="s">
        <v>724</v>
      </c>
      <c r="B22" s="288"/>
      <c r="C22" s="290"/>
      <c r="D22" s="290"/>
      <c r="E22" s="290"/>
      <c r="F22" s="290"/>
      <c r="G22" s="292"/>
      <c r="H22" s="293"/>
      <c r="I22" s="276"/>
      <c r="J22" s="281"/>
      <c r="K22" s="281"/>
      <c r="L22" s="293"/>
      <c r="M22" s="276"/>
      <c r="N22" s="293"/>
      <c r="O22" s="276"/>
      <c r="P22" s="276"/>
      <c r="Q22" s="276"/>
      <c r="R22" s="276"/>
      <c r="S22" s="149"/>
      <c r="T22" s="174"/>
      <c r="U22" s="149"/>
      <c r="V22" s="174"/>
      <c r="W22" s="149"/>
      <c r="X22" s="149"/>
      <c r="Y22" s="149"/>
      <c r="Z22" s="149">
        <v>367</v>
      </c>
      <c r="AA22" s="146">
        <v>30214703</v>
      </c>
      <c r="AB22" s="174">
        <v>45602</v>
      </c>
      <c r="AC22" s="175">
        <v>102316.01</v>
      </c>
      <c r="AD22" t="s">
        <v>759</v>
      </c>
      <c r="AE22" s="176">
        <v>28480622</v>
      </c>
      <c r="AF22" s="174">
        <v>45454</v>
      </c>
      <c r="AG22" s="175">
        <v>38448.120000000003</v>
      </c>
      <c r="AH22" t="s">
        <v>734</v>
      </c>
      <c r="AI22" s="149">
        <v>30877714</v>
      </c>
      <c r="AJ22" s="131">
        <v>45630</v>
      </c>
      <c r="AK22" s="175">
        <v>10047.08</v>
      </c>
      <c r="AL22" s="149"/>
      <c r="AM22" s="183" t="s">
        <v>44</v>
      </c>
    </row>
    <row r="23" spans="1:39" x14ac:dyDescent="0.25">
      <c r="A23" s="59" t="s">
        <v>724</v>
      </c>
      <c r="B23" s="288"/>
      <c r="C23" s="290"/>
      <c r="D23" s="290"/>
      <c r="E23" s="290"/>
      <c r="F23" s="290"/>
      <c r="G23" s="292"/>
      <c r="H23" s="293"/>
      <c r="I23" s="276"/>
      <c r="J23" s="281"/>
      <c r="K23" s="281"/>
      <c r="L23" s="293"/>
      <c r="M23" s="276"/>
      <c r="N23" s="293"/>
      <c r="O23" s="276"/>
      <c r="P23" s="276"/>
      <c r="Q23" s="276"/>
      <c r="R23" s="276"/>
      <c r="S23" s="149"/>
      <c r="T23" s="174"/>
      <c r="U23" s="149"/>
      <c r="V23" s="174"/>
      <c r="W23" s="149"/>
      <c r="X23" s="149"/>
      <c r="Y23" s="149"/>
      <c r="Z23" s="149"/>
      <c r="AA23" s="146"/>
      <c r="AB23" s="174"/>
      <c r="AC23" s="175"/>
      <c r="AE23" s="176"/>
      <c r="AF23" s="174"/>
      <c r="AG23" s="175"/>
      <c r="AH23" t="s">
        <v>760</v>
      </c>
      <c r="AI23" s="149">
        <v>33073750</v>
      </c>
      <c r="AJ23" s="131">
        <v>45712</v>
      </c>
      <c r="AK23" s="175">
        <v>2573.77</v>
      </c>
      <c r="AL23" s="149"/>
      <c r="AM23" s="183" t="s">
        <v>44</v>
      </c>
    </row>
    <row r="24" spans="1:39" x14ac:dyDescent="0.25">
      <c r="A24" s="59" t="s">
        <v>724</v>
      </c>
      <c r="B24" s="288"/>
      <c r="C24" s="290"/>
      <c r="D24" s="290"/>
      <c r="E24" s="290"/>
      <c r="F24" s="290"/>
      <c r="G24" s="292"/>
      <c r="H24" s="293"/>
      <c r="I24" s="276"/>
      <c r="J24" s="281"/>
      <c r="K24" s="281"/>
      <c r="L24" s="293"/>
      <c r="M24" s="276"/>
      <c r="N24" s="293"/>
      <c r="O24" s="276"/>
      <c r="P24" s="276"/>
      <c r="Q24" s="276"/>
      <c r="R24" s="276"/>
      <c r="S24" s="149"/>
      <c r="T24" s="174"/>
      <c r="U24" s="149"/>
      <c r="V24" s="174"/>
      <c r="W24" s="149"/>
      <c r="X24" s="149"/>
      <c r="Y24" s="149"/>
      <c r="Z24" s="149"/>
      <c r="AA24" s="146"/>
      <c r="AB24" s="174"/>
      <c r="AC24" s="175"/>
      <c r="AE24" s="176"/>
      <c r="AF24" s="174"/>
      <c r="AG24" s="175"/>
      <c r="AH24" t="s">
        <v>761</v>
      </c>
      <c r="AI24" s="149">
        <v>33073844</v>
      </c>
      <c r="AJ24" s="131">
        <v>45712</v>
      </c>
      <c r="AK24" s="175">
        <v>2116.54</v>
      </c>
      <c r="AL24" s="149"/>
      <c r="AM24" s="183" t="s">
        <v>44</v>
      </c>
    </row>
    <row r="25" spans="1:39" x14ac:dyDescent="0.25">
      <c r="A25" s="59" t="s">
        <v>724</v>
      </c>
      <c r="B25" s="288"/>
      <c r="C25" s="290"/>
      <c r="D25" s="290"/>
      <c r="E25" s="290"/>
      <c r="F25" s="290"/>
      <c r="G25" s="292"/>
      <c r="H25" s="293"/>
      <c r="I25" s="276"/>
      <c r="J25" s="281"/>
      <c r="K25" s="281"/>
      <c r="L25" s="293"/>
      <c r="M25" s="276"/>
      <c r="N25" s="293"/>
      <c r="O25" s="276"/>
      <c r="P25" s="276"/>
      <c r="Q25" s="276"/>
      <c r="R25" s="276"/>
      <c r="S25" s="149"/>
      <c r="T25" s="174"/>
      <c r="U25" s="149"/>
      <c r="V25" s="174"/>
      <c r="W25" s="149"/>
      <c r="X25" s="149"/>
      <c r="Y25" s="149"/>
      <c r="Z25" s="149"/>
      <c r="AA25" s="146"/>
      <c r="AB25" s="174"/>
      <c r="AC25" s="175"/>
      <c r="AE25" s="176"/>
      <c r="AF25" s="174"/>
      <c r="AG25" s="175"/>
      <c r="AH25" t="s">
        <v>762</v>
      </c>
      <c r="AI25" s="149">
        <v>33073844</v>
      </c>
      <c r="AJ25" s="131">
        <v>45713</v>
      </c>
      <c r="AK25" s="175">
        <v>4392.47</v>
      </c>
      <c r="AL25" s="149"/>
      <c r="AM25" s="183" t="s">
        <v>44</v>
      </c>
    </row>
    <row r="26" spans="1:39" x14ac:dyDescent="0.25">
      <c r="A26" s="59" t="s">
        <v>725</v>
      </c>
      <c r="B26" s="282" t="s">
        <v>45</v>
      </c>
      <c r="C26" s="23"/>
      <c r="D26" s="23"/>
      <c r="E26" s="289" t="s">
        <v>34</v>
      </c>
      <c r="F26" s="289" t="s">
        <v>35</v>
      </c>
      <c r="G26" s="285">
        <v>43</v>
      </c>
      <c r="H26" s="280">
        <v>44927</v>
      </c>
      <c r="I26" s="278">
        <v>21782517</v>
      </c>
      <c r="J26" s="322">
        <v>265</v>
      </c>
      <c r="K26" s="272">
        <v>2056400</v>
      </c>
      <c r="L26" s="280">
        <v>45173</v>
      </c>
      <c r="M26" s="278" t="s">
        <v>46</v>
      </c>
      <c r="N26" s="280">
        <v>45427</v>
      </c>
      <c r="O26" s="332" t="s">
        <v>47</v>
      </c>
      <c r="P26" s="278">
        <v>22595761</v>
      </c>
      <c r="Q26" s="332" t="s">
        <v>47</v>
      </c>
      <c r="R26" s="278">
        <v>22595761</v>
      </c>
      <c r="S26" s="276">
        <v>22852344</v>
      </c>
      <c r="T26" s="293">
        <v>45217</v>
      </c>
      <c r="U26" s="276">
        <v>22852447</v>
      </c>
      <c r="V26" s="293">
        <v>45217</v>
      </c>
      <c r="W26" s="133"/>
      <c r="X26" s="133"/>
      <c r="Y26" s="133"/>
      <c r="Z26" s="133">
        <v>11386</v>
      </c>
      <c r="AA26" s="326">
        <v>22706959</v>
      </c>
      <c r="AB26" s="171">
        <v>45201</v>
      </c>
      <c r="AC26" s="172">
        <v>32330</v>
      </c>
      <c r="AD26" s="133" t="s">
        <v>48</v>
      </c>
      <c r="AE26" s="173">
        <v>21612028</v>
      </c>
      <c r="AF26" s="171">
        <v>45145</v>
      </c>
      <c r="AG26" s="172">
        <v>1487312.6</v>
      </c>
      <c r="AH26" s="133" t="s">
        <v>49</v>
      </c>
      <c r="AI26" s="133">
        <v>23669953</v>
      </c>
      <c r="AJ26" s="171">
        <v>45222</v>
      </c>
      <c r="AK26" s="172">
        <v>338317.3</v>
      </c>
      <c r="AL26" s="133"/>
      <c r="AM26" s="30" t="s">
        <v>50</v>
      </c>
    </row>
    <row r="27" spans="1:39" x14ac:dyDescent="0.25">
      <c r="A27" s="59" t="s">
        <v>725</v>
      </c>
      <c r="B27" s="283"/>
      <c r="C27" s="25"/>
      <c r="D27" s="25"/>
      <c r="E27" s="294"/>
      <c r="F27" s="294"/>
      <c r="G27" s="286"/>
      <c r="H27" s="271"/>
      <c r="I27" s="271"/>
      <c r="J27" s="323"/>
      <c r="K27" s="271"/>
      <c r="L27" s="271"/>
      <c r="M27" s="271"/>
      <c r="N27" s="271"/>
      <c r="O27" s="271"/>
      <c r="P27" s="271"/>
      <c r="Q27" s="271"/>
      <c r="R27" s="271"/>
      <c r="S27" s="271"/>
      <c r="T27" s="271"/>
      <c r="U27" s="271"/>
      <c r="V27" s="271"/>
      <c r="W27" s="26"/>
      <c r="X27" s="26"/>
      <c r="Y27" s="26"/>
      <c r="Z27" s="26">
        <v>11356</v>
      </c>
      <c r="AA27" s="271"/>
      <c r="AB27" s="27">
        <v>45191</v>
      </c>
      <c r="AC27" s="155">
        <v>100170</v>
      </c>
      <c r="AD27" s="275" t="s">
        <v>51</v>
      </c>
      <c r="AE27" s="331">
        <v>21612075</v>
      </c>
      <c r="AF27" s="274">
        <v>45145</v>
      </c>
      <c r="AG27" s="317">
        <v>569087.4</v>
      </c>
      <c r="AH27" s="26" t="s">
        <v>52</v>
      </c>
      <c r="AI27" s="26">
        <v>23669605</v>
      </c>
      <c r="AJ27" s="27">
        <v>45222</v>
      </c>
      <c r="AK27" s="155">
        <v>46676.66</v>
      </c>
      <c r="AL27" s="26"/>
      <c r="AM27" s="30" t="s">
        <v>53</v>
      </c>
    </row>
    <row r="28" spans="1:39" x14ac:dyDescent="0.25">
      <c r="A28" s="59" t="s">
        <v>725</v>
      </c>
      <c r="B28" s="283"/>
      <c r="C28" s="25"/>
      <c r="D28" s="25"/>
      <c r="E28" s="294"/>
      <c r="F28" s="294"/>
      <c r="G28" s="286"/>
      <c r="H28" s="271"/>
      <c r="I28" s="271"/>
      <c r="J28" s="323"/>
      <c r="K28" s="271"/>
      <c r="L28" s="271"/>
      <c r="M28" s="271"/>
      <c r="N28" s="271"/>
      <c r="O28" s="271"/>
      <c r="P28" s="271"/>
      <c r="Q28" s="271"/>
      <c r="R28" s="271"/>
      <c r="S28" s="271"/>
      <c r="T28" s="271"/>
      <c r="U28" s="271"/>
      <c r="V28" s="271"/>
      <c r="W28" s="26"/>
      <c r="X28" s="26"/>
      <c r="Y28" s="26"/>
      <c r="Z28" s="26">
        <v>11371</v>
      </c>
      <c r="AA28" s="271"/>
      <c r="AB28" s="27">
        <v>45196</v>
      </c>
      <c r="AC28" s="155">
        <v>66250</v>
      </c>
      <c r="AD28" s="271"/>
      <c r="AE28" s="271"/>
      <c r="AF28" s="271"/>
      <c r="AG28" s="324"/>
      <c r="AH28" s="26" t="s">
        <v>54</v>
      </c>
      <c r="AI28" s="26">
        <v>23669999</v>
      </c>
      <c r="AJ28" s="27">
        <v>45222</v>
      </c>
      <c r="AK28" s="155">
        <v>7830</v>
      </c>
      <c r="AL28" s="26"/>
      <c r="AM28" s="30" t="s">
        <v>53</v>
      </c>
    </row>
    <row r="29" spans="1:39" x14ac:dyDescent="0.25">
      <c r="A29" s="59" t="s">
        <v>725</v>
      </c>
      <c r="B29" s="283"/>
      <c r="C29" s="25"/>
      <c r="D29" s="25"/>
      <c r="E29" s="294"/>
      <c r="F29" s="294"/>
      <c r="G29" s="286"/>
      <c r="H29" s="271"/>
      <c r="I29" s="271"/>
      <c r="J29" s="323"/>
      <c r="K29" s="271"/>
      <c r="L29" s="271"/>
      <c r="M29" s="271"/>
      <c r="N29" s="271"/>
      <c r="O29" s="271"/>
      <c r="P29" s="271"/>
      <c r="Q29" s="271"/>
      <c r="R29" s="271"/>
      <c r="S29" s="271"/>
      <c r="T29" s="271"/>
      <c r="U29" s="271"/>
      <c r="V29" s="271"/>
      <c r="W29" s="26"/>
      <c r="X29" s="26"/>
      <c r="Y29" s="26"/>
      <c r="Z29" s="26">
        <v>11367</v>
      </c>
      <c r="AA29" s="271"/>
      <c r="AB29" s="27">
        <v>45195</v>
      </c>
      <c r="AC29" s="155">
        <v>66250</v>
      </c>
      <c r="AD29" s="271"/>
      <c r="AE29" s="271"/>
      <c r="AF29" s="271"/>
      <c r="AG29" s="324"/>
      <c r="AH29" s="275"/>
      <c r="AI29" s="275"/>
      <c r="AJ29" s="274"/>
      <c r="AK29" s="317"/>
      <c r="AL29" s="26"/>
      <c r="AM29" s="319"/>
    </row>
    <row r="30" spans="1:39" x14ac:dyDescent="0.25">
      <c r="A30" s="59" t="s">
        <v>725</v>
      </c>
      <c r="B30" s="283"/>
      <c r="C30" s="25"/>
      <c r="D30" s="25"/>
      <c r="E30" s="294"/>
      <c r="F30" s="294"/>
      <c r="G30" s="286"/>
      <c r="H30" s="271"/>
      <c r="I30" s="271"/>
      <c r="J30" s="323"/>
      <c r="K30" s="271"/>
      <c r="L30" s="271"/>
      <c r="M30" s="271"/>
      <c r="N30" s="271"/>
      <c r="O30" s="271"/>
      <c r="P30" s="271"/>
      <c r="Q30" s="271"/>
      <c r="R30" s="271"/>
      <c r="S30" s="271"/>
      <c r="T30" s="271"/>
      <c r="U30" s="271"/>
      <c r="V30" s="271"/>
      <c r="W30" s="26"/>
      <c r="X30" s="26"/>
      <c r="Y30" s="26"/>
      <c r="Z30" s="26">
        <v>11350</v>
      </c>
      <c r="AA30" s="271"/>
      <c r="AB30" s="27">
        <v>45190</v>
      </c>
      <c r="AC30" s="155">
        <v>66250</v>
      </c>
      <c r="AD30" s="271"/>
      <c r="AE30" s="271"/>
      <c r="AF30" s="271"/>
      <c r="AG30" s="324"/>
      <c r="AH30" s="301"/>
      <c r="AI30" s="271"/>
      <c r="AJ30" s="271"/>
      <c r="AK30" s="309"/>
      <c r="AL30" s="26"/>
      <c r="AM30" s="316"/>
    </row>
    <row r="31" spans="1:39" x14ac:dyDescent="0.25">
      <c r="A31" s="59" t="s">
        <v>725</v>
      </c>
      <c r="B31" s="283"/>
      <c r="C31" s="25"/>
      <c r="D31" s="25"/>
      <c r="E31" s="294"/>
      <c r="F31" s="294"/>
      <c r="G31" s="286"/>
      <c r="H31" s="271"/>
      <c r="I31" s="271"/>
      <c r="J31" s="323"/>
      <c r="K31" s="271"/>
      <c r="L31" s="271"/>
      <c r="M31" s="271"/>
      <c r="N31" s="271"/>
      <c r="O31" s="271"/>
      <c r="P31" s="271"/>
      <c r="Q31" s="271"/>
      <c r="R31" s="271"/>
      <c r="S31" s="271"/>
      <c r="T31" s="271"/>
      <c r="U31" s="271"/>
      <c r="V31" s="271"/>
      <c r="W31" s="26"/>
      <c r="X31" s="26"/>
      <c r="Y31" s="26"/>
      <c r="Z31" s="26">
        <v>11357</v>
      </c>
      <c r="AA31" s="271"/>
      <c r="AB31" s="27">
        <v>45194</v>
      </c>
      <c r="AC31" s="155">
        <v>66250</v>
      </c>
      <c r="AD31" s="271"/>
      <c r="AE31" s="271"/>
      <c r="AF31" s="271"/>
      <c r="AG31" s="324"/>
      <c r="AH31" s="301"/>
      <c r="AI31" s="271"/>
      <c r="AJ31" s="271"/>
      <c r="AK31" s="309"/>
      <c r="AL31" s="26"/>
      <c r="AM31" s="316"/>
    </row>
    <row r="32" spans="1:39" x14ac:dyDescent="0.25">
      <c r="A32" s="59" t="s">
        <v>725</v>
      </c>
      <c r="B32" s="283"/>
      <c r="C32" s="25"/>
      <c r="D32" s="25"/>
      <c r="E32" s="294"/>
      <c r="F32" s="294"/>
      <c r="G32" s="286"/>
      <c r="H32" s="271"/>
      <c r="I32" s="271"/>
      <c r="J32" s="323"/>
      <c r="K32" s="271"/>
      <c r="L32" s="271"/>
      <c r="M32" s="271"/>
      <c r="N32" s="271"/>
      <c r="O32" s="271"/>
      <c r="P32" s="271"/>
      <c r="Q32" s="271"/>
      <c r="R32" s="271"/>
      <c r="S32" s="271"/>
      <c r="T32" s="271"/>
      <c r="U32" s="271"/>
      <c r="V32" s="271"/>
      <c r="W32" s="26"/>
      <c r="X32" s="26"/>
      <c r="Y32" s="26"/>
      <c r="Z32" s="26">
        <v>11420</v>
      </c>
      <c r="AA32" s="62">
        <v>23874249</v>
      </c>
      <c r="AB32" s="27">
        <v>45215</v>
      </c>
      <c r="AC32" s="155">
        <v>106000</v>
      </c>
      <c r="AD32" s="271"/>
      <c r="AE32" s="271"/>
      <c r="AF32" s="271"/>
      <c r="AG32" s="324"/>
      <c r="AH32" s="275" t="s">
        <v>55</v>
      </c>
      <c r="AI32" s="275">
        <v>23940802</v>
      </c>
      <c r="AJ32" s="274">
        <v>45275</v>
      </c>
      <c r="AK32" s="317">
        <v>214430.58</v>
      </c>
      <c r="AL32" s="26"/>
      <c r="AM32" s="319" t="s">
        <v>56</v>
      </c>
    </row>
    <row r="33" spans="1:39" x14ac:dyDescent="0.25">
      <c r="A33" s="59" t="s">
        <v>725</v>
      </c>
      <c r="B33" s="283"/>
      <c r="C33" s="25"/>
      <c r="D33" s="25"/>
      <c r="E33" s="294"/>
      <c r="F33" s="294"/>
      <c r="G33" s="286"/>
      <c r="H33" s="271"/>
      <c r="I33" s="271"/>
      <c r="J33" s="323"/>
      <c r="K33" s="271"/>
      <c r="L33" s="271"/>
      <c r="M33" s="271"/>
      <c r="N33" s="271"/>
      <c r="O33" s="271"/>
      <c r="P33" s="271"/>
      <c r="Q33" s="271"/>
      <c r="R33" s="271"/>
      <c r="S33" s="271"/>
      <c r="T33" s="271"/>
      <c r="U33" s="271"/>
      <c r="V33" s="271"/>
      <c r="W33" s="26"/>
      <c r="X33" s="26"/>
      <c r="Y33" s="26"/>
      <c r="Z33" s="26">
        <v>11443</v>
      </c>
      <c r="AA33" s="62">
        <v>23874290</v>
      </c>
      <c r="AB33" s="27">
        <v>45222</v>
      </c>
      <c r="AC33" s="155">
        <v>111035</v>
      </c>
      <c r="AD33" s="271"/>
      <c r="AE33" s="271"/>
      <c r="AF33" s="271"/>
      <c r="AG33" s="324"/>
      <c r="AH33" s="301"/>
      <c r="AI33" s="271"/>
      <c r="AJ33" s="271"/>
      <c r="AK33" s="309"/>
      <c r="AL33" s="26"/>
      <c r="AM33" s="316"/>
    </row>
    <row r="34" spans="1:39" x14ac:dyDescent="0.25">
      <c r="A34" s="59" t="s">
        <v>725</v>
      </c>
      <c r="B34" s="283"/>
      <c r="C34" s="25"/>
      <c r="D34" s="25"/>
      <c r="E34" s="294"/>
      <c r="F34" s="294"/>
      <c r="G34" s="286"/>
      <c r="H34" s="271"/>
      <c r="I34" s="271"/>
      <c r="J34" s="323"/>
      <c r="K34" s="271"/>
      <c r="L34" s="271"/>
      <c r="M34" s="271"/>
      <c r="N34" s="271"/>
      <c r="O34" s="271"/>
      <c r="P34" s="271"/>
      <c r="Q34" s="271"/>
      <c r="R34" s="271"/>
      <c r="S34" s="271"/>
      <c r="T34" s="271"/>
      <c r="U34" s="271"/>
      <c r="V34" s="271"/>
      <c r="W34" s="26"/>
      <c r="X34" s="26"/>
      <c r="Y34" s="26"/>
      <c r="Z34" s="26">
        <v>11788</v>
      </c>
      <c r="AA34" s="305">
        <v>24105804</v>
      </c>
      <c r="AB34" s="274">
        <v>45288</v>
      </c>
      <c r="AC34" s="155">
        <v>100170</v>
      </c>
      <c r="AD34" s="275" t="s">
        <v>48</v>
      </c>
      <c r="AE34" s="331">
        <v>21612028</v>
      </c>
      <c r="AF34" s="274">
        <v>45145</v>
      </c>
      <c r="AG34" s="317">
        <v>1487312.6</v>
      </c>
      <c r="AH34" s="26"/>
      <c r="AI34" s="26"/>
      <c r="AJ34" s="27"/>
      <c r="AK34" s="155"/>
      <c r="AL34" s="26"/>
      <c r="AM34" s="319" t="s">
        <v>56</v>
      </c>
    </row>
    <row r="35" spans="1:39" x14ac:dyDescent="0.25">
      <c r="A35" s="59" t="s">
        <v>725</v>
      </c>
      <c r="B35" s="283"/>
      <c r="C35" s="25"/>
      <c r="D35" s="25"/>
      <c r="E35" s="294"/>
      <c r="F35" s="294"/>
      <c r="G35" s="286"/>
      <c r="H35" s="271"/>
      <c r="I35" s="271"/>
      <c r="J35" s="323"/>
      <c r="K35" s="271"/>
      <c r="L35" s="271"/>
      <c r="M35" s="271"/>
      <c r="N35" s="271"/>
      <c r="O35" s="271"/>
      <c r="P35" s="271"/>
      <c r="Q35" s="271"/>
      <c r="R35" s="271"/>
      <c r="S35" s="271"/>
      <c r="T35" s="271"/>
      <c r="U35" s="271"/>
      <c r="V35" s="271"/>
      <c r="W35" s="26"/>
      <c r="X35" s="26"/>
      <c r="Y35" s="26"/>
      <c r="Z35" s="26">
        <v>11789</v>
      </c>
      <c r="AA35" s="271"/>
      <c r="AB35" s="307"/>
      <c r="AC35" s="155">
        <v>100170</v>
      </c>
      <c r="AD35" s="271"/>
      <c r="AE35" s="271"/>
      <c r="AF35" s="271"/>
      <c r="AG35" s="324"/>
      <c r="AH35" s="275" t="s">
        <v>58</v>
      </c>
      <c r="AI35" s="275">
        <v>27967503</v>
      </c>
      <c r="AJ35" s="274">
        <v>45490</v>
      </c>
      <c r="AK35" s="317">
        <v>395871.84</v>
      </c>
      <c r="AL35" s="26"/>
      <c r="AM35" s="316"/>
    </row>
    <row r="36" spans="1:39" x14ac:dyDescent="0.25">
      <c r="A36" s="59" t="s">
        <v>725</v>
      </c>
      <c r="B36" s="283"/>
      <c r="C36" s="25"/>
      <c r="D36" s="25"/>
      <c r="E36" s="294"/>
      <c r="F36" s="294"/>
      <c r="G36" s="286"/>
      <c r="H36" s="271"/>
      <c r="I36" s="271"/>
      <c r="J36" s="323"/>
      <c r="K36" s="271"/>
      <c r="L36" s="271"/>
      <c r="M36" s="271"/>
      <c r="N36" s="271"/>
      <c r="O36" s="271"/>
      <c r="P36" s="271"/>
      <c r="Q36" s="271"/>
      <c r="R36" s="271"/>
      <c r="S36" s="271"/>
      <c r="T36" s="271"/>
      <c r="U36" s="271"/>
      <c r="V36" s="271"/>
      <c r="W36" s="26"/>
      <c r="X36" s="26"/>
      <c r="Y36" s="26"/>
      <c r="Z36" s="26">
        <v>11790</v>
      </c>
      <c r="AA36" s="271"/>
      <c r="AB36" s="307"/>
      <c r="AC36" s="155">
        <v>100170</v>
      </c>
      <c r="AD36" s="271"/>
      <c r="AE36" s="271"/>
      <c r="AF36" s="271"/>
      <c r="AG36" s="324"/>
      <c r="AH36" s="301"/>
      <c r="AI36" s="271"/>
      <c r="AJ36" s="271"/>
      <c r="AK36" s="309"/>
      <c r="AL36" s="26"/>
      <c r="AM36" s="316"/>
    </row>
    <row r="37" spans="1:39" x14ac:dyDescent="0.25">
      <c r="A37" s="59" t="s">
        <v>725</v>
      </c>
      <c r="B37" s="283"/>
      <c r="C37" s="25"/>
      <c r="D37" s="25"/>
      <c r="E37" s="294"/>
      <c r="F37" s="294"/>
      <c r="G37" s="286"/>
      <c r="H37" s="271"/>
      <c r="I37" s="271"/>
      <c r="J37" s="323"/>
      <c r="K37" s="271"/>
      <c r="L37" s="271"/>
      <c r="M37" s="271"/>
      <c r="N37" s="271"/>
      <c r="O37" s="271"/>
      <c r="P37" s="271"/>
      <c r="Q37" s="271"/>
      <c r="R37" s="271"/>
      <c r="S37" s="271"/>
      <c r="T37" s="271"/>
      <c r="U37" s="271"/>
      <c r="V37" s="271"/>
      <c r="W37" s="26"/>
      <c r="X37" s="26"/>
      <c r="Y37" s="26"/>
      <c r="Z37" s="26">
        <v>11791</v>
      </c>
      <c r="AA37" s="271"/>
      <c r="AB37" s="307"/>
      <c r="AC37" s="155">
        <v>100170</v>
      </c>
      <c r="AD37" s="271"/>
      <c r="AE37" s="271"/>
      <c r="AF37" s="271"/>
      <c r="AG37" s="324"/>
      <c r="AH37" s="301"/>
      <c r="AI37" s="271"/>
      <c r="AJ37" s="271"/>
      <c r="AK37" s="309"/>
      <c r="AL37" s="26"/>
      <c r="AM37" s="316"/>
    </row>
    <row r="38" spans="1:39" x14ac:dyDescent="0.25">
      <c r="A38" s="59" t="s">
        <v>725</v>
      </c>
      <c r="B38" s="283"/>
      <c r="C38" s="25"/>
      <c r="D38" s="25"/>
      <c r="E38" s="294"/>
      <c r="F38" s="294"/>
      <c r="G38" s="286"/>
      <c r="H38" s="271"/>
      <c r="I38" s="271"/>
      <c r="J38" s="323"/>
      <c r="K38" s="271"/>
      <c r="L38" s="271"/>
      <c r="M38" s="271"/>
      <c r="N38" s="271"/>
      <c r="O38" s="271"/>
      <c r="P38" s="271"/>
      <c r="Q38" s="271"/>
      <c r="R38" s="271"/>
      <c r="S38" s="271"/>
      <c r="T38" s="271"/>
      <c r="U38" s="271"/>
      <c r="V38" s="271"/>
      <c r="W38" s="26"/>
      <c r="X38" s="26"/>
      <c r="Y38" s="26"/>
      <c r="Z38" s="26">
        <v>11792</v>
      </c>
      <c r="AA38" s="271"/>
      <c r="AB38" s="307"/>
      <c r="AC38" s="155">
        <v>100170</v>
      </c>
      <c r="AD38" s="271"/>
      <c r="AE38" s="271"/>
      <c r="AF38" s="271"/>
      <c r="AG38" s="324"/>
      <c r="AH38" s="301"/>
      <c r="AI38" s="271"/>
      <c r="AJ38" s="271"/>
      <c r="AK38" s="309"/>
      <c r="AL38" s="26"/>
      <c r="AM38" s="316"/>
    </row>
    <row r="39" spans="1:39" x14ac:dyDescent="0.25">
      <c r="A39" s="59" t="s">
        <v>725</v>
      </c>
      <c r="B39" s="283"/>
      <c r="C39" s="25"/>
      <c r="D39" s="25"/>
      <c r="E39" s="294"/>
      <c r="F39" s="294"/>
      <c r="G39" s="286"/>
      <c r="H39" s="271"/>
      <c r="I39" s="271"/>
      <c r="J39" s="323"/>
      <c r="K39" s="271"/>
      <c r="L39" s="271"/>
      <c r="M39" s="271"/>
      <c r="N39" s="271"/>
      <c r="O39" s="271"/>
      <c r="P39" s="271"/>
      <c r="Q39" s="271"/>
      <c r="R39" s="271"/>
      <c r="S39" s="271"/>
      <c r="T39" s="271"/>
      <c r="U39" s="271"/>
      <c r="V39" s="271"/>
      <c r="W39" s="26"/>
      <c r="X39" s="26"/>
      <c r="Y39" s="26"/>
      <c r="Z39" s="26">
        <v>11793</v>
      </c>
      <c r="AA39" s="271"/>
      <c r="AB39" s="307"/>
      <c r="AC39" s="155">
        <v>100170</v>
      </c>
      <c r="AD39" s="271"/>
      <c r="AE39" s="271"/>
      <c r="AF39" s="271"/>
      <c r="AG39" s="324"/>
      <c r="AH39" s="275" t="s">
        <v>57</v>
      </c>
      <c r="AI39" s="318">
        <v>27967226</v>
      </c>
      <c r="AJ39" s="274">
        <v>45490</v>
      </c>
      <c r="AK39" s="317">
        <v>427421.25</v>
      </c>
      <c r="AL39" s="26"/>
      <c r="AM39" s="319" t="s">
        <v>59</v>
      </c>
    </row>
    <row r="40" spans="1:39" x14ac:dyDescent="0.25">
      <c r="A40" s="59" t="s">
        <v>725</v>
      </c>
      <c r="B40" s="283"/>
      <c r="C40" s="25"/>
      <c r="D40" s="25"/>
      <c r="E40" s="294"/>
      <c r="F40" s="294"/>
      <c r="G40" s="286"/>
      <c r="H40" s="271"/>
      <c r="I40" s="271"/>
      <c r="J40" s="323"/>
      <c r="K40" s="271"/>
      <c r="L40" s="271"/>
      <c r="M40" s="271"/>
      <c r="N40" s="271"/>
      <c r="O40" s="271"/>
      <c r="P40" s="271"/>
      <c r="Q40" s="271"/>
      <c r="R40" s="271"/>
      <c r="S40" s="271"/>
      <c r="T40" s="271"/>
      <c r="U40" s="271"/>
      <c r="V40" s="271"/>
      <c r="W40" s="26"/>
      <c r="X40" s="26"/>
      <c r="Y40" s="26"/>
      <c r="Z40" s="26">
        <v>11794</v>
      </c>
      <c r="AA40" s="271"/>
      <c r="AB40" s="307"/>
      <c r="AC40" s="155">
        <v>100170</v>
      </c>
      <c r="AD40" s="271"/>
      <c r="AE40" s="271"/>
      <c r="AF40" s="271"/>
      <c r="AG40" s="324"/>
      <c r="AH40" s="301"/>
      <c r="AI40" s="271"/>
      <c r="AJ40" s="271"/>
      <c r="AK40" s="309"/>
      <c r="AL40" s="26"/>
      <c r="AM40" s="316"/>
    </row>
    <row r="41" spans="1:39" x14ac:dyDescent="0.25">
      <c r="A41" s="59" t="s">
        <v>725</v>
      </c>
      <c r="B41" s="283"/>
      <c r="C41" s="25"/>
      <c r="D41" s="25"/>
      <c r="E41" s="294"/>
      <c r="F41" s="294"/>
      <c r="G41" s="286"/>
      <c r="H41" s="271"/>
      <c r="I41" s="271"/>
      <c r="J41" s="323"/>
      <c r="K41" s="271"/>
      <c r="L41" s="271"/>
      <c r="M41" s="271"/>
      <c r="N41" s="271"/>
      <c r="O41" s="271"/>
      <c r="P41" s="271"/>
      <c r="Q41" s="271"/>
      <c r="R41" s="271"/>
      <c r="S41" s="271"/>
      <c r="T41" s="271"/>
      <c r="U41" s="271"/>
      <c r="V41" s="271"/>
      <c r="W41" s="26"/>
      <c r="X41" s="26"/>
      <c r="Y41" s="26"/>
      <c r="Z41" s="26">
        <v>11795</v>
      </c>
      <c r="AA41" s="271"/>
      <c r="AB41" s="307"/>
      <c r="AC41" s="155">
        <v>100170</v>
      </c>
      <c r="AD41" s="271"/>
      <c r="AE41" s="271"/>
      <c r="AF41" s="271"/>
      <c r="AG41" s="324"/>
      <c r="AH41" s="301"/>
      <c r="AI41" s="271"/>
      <c r="AJ41" s="271"/>
      <c r="AK41" s="309"/>
      <c r="AL41" s="26"/>
      <c r="AM41" s="316"/>
    </row>
    <row r="42" spans="1:39" ht="15.75" customHeight="1" x14ac:dyDescent="0.25">
      <c r="A42" s="59" t="s">
        <v>725</v>
      </c>
      <c r="B42" s="283"/>
      <c r="C42" s="25"/>
      <c r="D42" s="25"/>
      <c r="E42" s="294"/>
      <c r="F42" s="294"/>
      <c r="G42" s="286"/>
      <c r="H42" s="271"/>
      <c r="I42" s="271"/>
      <c r="J42" s="323"/>
      <c r="K42" s="271"/>
      <c r="L42" s="271"/>
      <c r="M42" s="271"/>
      <c r="N42" s="271"/>
      <c r="O42" s="271"/>
      <c r="P42" s="271"/>
      <c r="Q42" s="271"/>
      <c r="R42" s="271"/>
      <c r="S42" s="271"/>
      <c r="T42" s="271"/>
      <c r="U42" s="271"/>
      <c r="V42" s="271"/>
      <c r="W42" s="26"/>
      <c r="X42" s="26"/>
      <c r="Y42" s="26"/>
      <c r="Z42" s="26">
        <v>11796</v>
      </c>
      <c r="AA42" s="271"/>
      <c r="AB42" s="307"/>
      <c r="AC42" s="155">
        <v>100170</v>
      </c>
      <c r="AD42" s="271"/>
      <c r="AE42" s="271"/>
      <c r="AF42" s="271"/>
      <c r="AG42" s="324"/>
      <c r="AH42" s="301"/>
      <c r="AI42" s="271"/>
      <c r="AJ42" s="271"/>
      <c r="AK42" s="309"/>
      <c r="AL42" s="26"/>
      <c r="AM42" s="316"/>
    </row>
    <row r="43" spans="1:39" ht="15.75" customHeight="1" x14ac:dyDescent="0.25">
      <c r="A43" s="59" t="s">
        <v>725</v>
      </c>
      <c r="B43" s="283"/>
      <c r="C43" s="25"/>
      <c r="D43" s="25"/>
      <c r="E43" s="294"/>
      <c r="F43" s="294"/>
      <c r="G43" s="286"/>
      <c r="H43" s="271"/>
      <c r="I43" s="271"/>
      <c r="J43" s="323"/>
      <c r="K43" s="271"/>
      <c r="L43" s="271"/>
      <c r="M43" s="271"/>
      <c r="N43" s="271"/>
      <c r="O43" s="271"/>
      <c r="P43" s="271"/>
      <c r="Q43" s="271"/>
      <c r="R43" s="271"/>
      <c r="S43" s="271"/>
      <c r="T43" s="271"/>
      <c r="U43" s="271"/>
      <c r="V43" s="271"/>
      <c r="W43" s="26"/>
      <c r="X43" s="26"/>
      <c r="Y43" s="26"/>
      <c r="Z43" s="26">
        <v>11797</v>
      </c>
      <c r="AA43" s="271"/>
      <c r="AB43" s="307"/>
      <c r="AC43" s="155">
        <v>100170</v>
      </c>
      <c r="AD43" s="271"/>
      <c r="AE43" s="271"/>
      <c r="AF43" s="271"/>
      <c r="AG43" s="324"/>
      <c r="AH43" s="301"/>
      <c r="AI43" s="271"/>
      <c r="AJ43" s="271"/>
      <c r="AK43" s="309"/>
      <c r="AL43" s="26"/>
      <c r="AM43" s="316"/>
    </row>
    <row r="44" spans="1:39" ht="15.75" customHeight="1" x14ac:dyDescent="0.25">
      <c r="A44" s="59" t="s">
        <v>725</v>
      </c>
      <c r="B44" s="283"/>
      <c r="C44" s="25"/>
      <c r="D44" s="25"/>
      <c r="E44" s="294"/>
      <c r="F44" s="294"/>
      <c r="G44" s="286"/>
      <c r="H44" s="271"/>
      <c r="I44" s="271"/>
      <c r="J44" s="323"/>
      <c r="K44" s="271"/>
      <c r="L44" s="271"/>
      <c r="M44" s="271"/>
      <c r="N44" s="271"/>
      <c r="O44" s="271"/>
      <c r="P44" s="271"/>
      <c r="Q44" s="271"/>
      <c r="R44" s="271"/>
      <c r="S44" s="271"/>
      <c r="T44" s="271"/>
      <c r="U44" s="271"/>
      <c r="V44" s="271"/>
      <c r="W44" s="26"/>
      <c r="X44" s="26"/>
      <c r="Y44" s="26"/>
      <c r="Z44" s="26">
        <v>11798</v>
      </c>
      <c r="AA44" s="271"/>
      <c r="AB44" s="307"/>
      <c r="AC44" s="155">
        <v>100170</v>
      </c>
      <c r="AD44" s="271"/>
      <c r="AE44" s="271"/>
      <c r="AF44" s="271"/>
      <c r="AG44" s="324"/>
      <c r="AH44" s="301"/>
      <c r="AI44" s="271"/>
      <c r="AJ44" s="271"/>
      <c r="AK44" s="309"/>
      <c r="AL44" s="26"/>
      <c r="AM44" s="316"/>
    </row>
    <row r="45" spans="1:39" ht="15.75" customHeight="1" x14ac:dyDescent="0.25">
      <c r="A45" s="59" t="s">
        <v>725</v>
      </c>
      <c r="B45" s="283"/>
      <c r="C45" s="25"/>
      <c r="D45" s="25"/>
      <c r="E45" s="294"/>
      <c r="F45" s="294"/>
      <c r="G45" s="286"/>
      <c r="H45" s="271"/>
      <c r="I45" s="271"/>
      <c r="J45" s="323"/>
      <c r="K45" s="271"/>
      <c r="L45" s="271"/>
      <c r="M45" s="271"/>
      <c r="N45" s="271"/>
      <c r="O45" s="271"/>
      <c r="P45" s="271"/>
      <c r="Q45" s="271"/>
      <c r="R45" s="271"/>
      <c r="S45" s="271"/>
      <c r="T45" s="271"/>
      <c r="U45" s="271"/>
      <c r="V45" s="271"/>
      <c r="W45" s="26"/>
      <c r="X45" s="26"/>
      <c r="Y45" s="26"/>
      <c r="Z45" s="26">
        <v>11799</v>
      </c>
      <c r="AA45" s="271"/>
      <c r="AB45" s="307"/>
      <c r="AC45" s="155">
        <v>100170</v>
      </c>
      <c r="AD45" s="271"/>
      <c r="AE45" s="271"/>
      <c r="AF45" s="271"/>
      <c r="AG45" s="324"/>
      <c r="AH45" s="301"/>
      <c r="AI45" s="271"/>
      <c r="AJ45" s="271"/>
      <c r="AK45" s="309"/>
      <c r="AL45" s="26"/>
      <c r="AM45" s="316"/>
    </row>
    <row r="46" spans="1:39" ht="15.75" customHeight="1" x14ac:dyDescent="0.25">
      <c r="A46" s="59" t="s">
        <v>725</v>
      </c>
      <c r="B46" s="283"/>
      <c r="C46" s="25"/>
      <c r="D46" s="25"/>
      <c r="E46" s="294"/>
      <c r="F46" s="294"/>
      <c r="G46" s="286"/>
      <c r="H46" s="271"/>
      <c r="I46" s="271"/>
      <c r="J46" s="323"/>
      <c r="K46" s="271"/>
      <c r="L46" s="271"/>
      <c r="M46" s="271"/>
      <c r="N46" s="271"/>
      <c r="O46" s="271"/>
      <c r="P46" s="271"/>
      <c r="Q46" s="271"/>
      <c r="R46" s="271"/>
      <c r="S46" s="271"/>
      <c r="T46" s="271"/>
      <c r="U46" s="271"/>
      <c r="V46" s="271"/>
      <c r="W46" s="26"/>
      <c r="X46" s="26"/>
      <c r="Y46" s="26"/>
      <c r="Z46" s="26">
        <v>11800</v>
      </c>
      <c r="AA46" s="271"/>
      <c r="AB46" s="307"/>
      <c r="AC46" s="155">
        <v>100170</v>
      </c>
      <c r="AD46" s="271"/>
      <c r="AE46" s="271"/>
      <c r="AF46" s="271"/>
      <c r="AG46" s="324"/>
      <c r="AH46" s="301"/>
      <c r="AI46" s="271"/>
      <c r="AJ46" s="271"/>
      <c r="AK46" s="309"/>
      <c r="AL46" s="26"/>
      <c r="AM46" s="316"/>
    </row>
    <row r="47" spans="1:39" ht="15.75" customHeight="1" x14ac:dyDescent="0.25">
      <c r="A47" s="59" t="s">
        <v>725</v>
      </c>
      <c r="B47" s="283"/>
      <c r="C47" s="25"/>
      <c r="D47" s="25"/>
      <c r="E47" s="294"/>
      <c r="F47" s="294"/>
      <c r="G47" s="286"/>
      <c r="H47" s="271"/>
      <c r="I47" s="271"/>
      <c r="J47" s="323"/>
      <c r="K47" s="271"/>
      <c r="L47" s="271"/>
      <c r="M47" s="271"/>
      <c r="N47" s="271"/>
      <c r="O47" s="271"/>
      <c r="P47" s="271"/>
      <c r="Q47" s="271"/>
      <c r="R47" s="271"/>
      <c r="S47" s="271"/>
      <c r="T47" s="271"/>
      <c r="U47" s="271"/>
      <c r="V47" s="271"/>
      <c r="W47" s="26"/>
      <c r="X47" s="26"/>
      <c r="Y47" s="26"/>
      <c r="Z47" s="26">
        <v>11801</v>
      </c>
      <c r="AA47" s="271"/>
      <c r="AB47" s="307"/>
      <c r="AC47" s="155">
        <v>100170</v>
      </c>
      <c r="AD47" s="271"/>
      <c r="AE47" s="271"/>
      <c r="AF47" s="271"/>
      <c r="AG47" s="324"/>
      <c r="AH47" s="301"/>
      <c r="AI47" s="271"/>
      <c r="AJ47" s="271"/>
      <c r="AK47" s="309"/>
      <c r="AL47" s="26"/>
      <c r="AM47" s="316"/>
    </row>
    <row r="48" spans="1:39" ht="15.75" customHeight="1" x14ac:dyDescent="0.25">
      <c r="A48" s="59" t="s">
        <v>725</v>
      </c>
      <c r="B48" s="283"/>
      <c r="C48" s="25"/>
      <c r="D48" s="25"/>
      <c r="E48" s="294"/>
      <c r="F48" s="294"/>
      <c r="G48" s="286"/>
      <c r="H48" s="271"/>
      <c r="I48" s="271"/>
      <c r="J48" s="323"/>
      <c r="K48" s="271"/>
      <c r="L48" s="271"/>
      <c r="M48" s="271"/>
      <c r="N48" s="271"/>
      <c r="O48" s="271"/>
      <c r="P48" s="271"/>
      <c r="Q48" s="271"/>
      <c r="R48" s="271"/>
      <c r="S48" s="271"/>
      <c r="T48" s="271"/>
      <c r="U48" s="271"/>
      <c r="V48" s="271"/>
      <c r="W48" s="26"/>
      <c r="X48" s="26"/>
      <c r="Y48" s="26"/>
      <c r="Z48" s="26">
        <v>11802</v>
      </c>
      <c r="AA48" s="271"/>
      <c r="AB48" s="307"/>
      <c r="AC48" s="155">
        <v>39485</v>
      </c>
      <c r="AD48" s="271"/>
      <c r="AE48" s="271"/>
      <c r="AF48" s="271"/>
      <c r="AG48" s="324"/>
      <c r="AH48" s="26" t="s">
        <v>60</v>
      </c>
      <c r="AI48" s="26">
        <v>27967724</v>
      </c>
      <c r="AJ48" s="27">
        <v>45492</v>
      </c>
      <c r="AK48" s="155">
        <v>25917.65</v>
      </c>
      <c r="AL48" s="26"/>
      <c r="AM48" s="30" t="s">
        <v>59</v>
      </c>
    </row>
    <row r="49" spans="1:39" ht="15.75" customHeight="1" x14ac:dyDescent="0.25">
      <c r="A49" s="59" t="s">
        <v>726</v>
      </c>
      <c r="B49" s="283"/>
      <c r="C49" s="186"/>
      <c r="D49" s="186"/>
      <c r="E49" s="294"/>
      <c r="F49" s="294"/>
      <c r="G49" s="292">
        <v>44</v>
      </c>
      <c r="H49" s="274">
        <v>44927</v>
      </c>
      <c r="I49" s="275">
        <v>21782520</v>
      </c>
      <c r="J49" s="189">
        <v>22</v>
      </c>
      <c r="K49" s="273">
        <v>388000</v>
      </c>
      <c r="L49" s="274">
        <v>45156</v>
      </c>
      <c r="M49" s="275" t="s">
        <v>46</v>
      </c>
      <c r="N49" s="274">
        <v>45176</v>
      </c>
      <c r="O49" s="321" t="s">
        <v>47</v>
      </c>
      <c r="P49" s="275">
        <v>22595761</v>
      </c>
      <c r="Q49" s="321" t="s">
        <v>47</v>
      </c>
      <c r="R49" s="275">
        <v>22595761</v>
      </c>
      <c r="S49" s="133"/>
      <c r="T49" s="133"/>
      <c r="U49" s="133"/>
      <c r="V49" s="133"/>
      <c r="W49" s="133"/>
      <c r="X49" s="133"/>
      <c r="Y49" s="133"/>
      <c r="Z49" s="133">
        <v>56</v>
      </c>
      <c r="AA49" s="136">
        <v>22739339</v>
      </c>
      <c r="AB49" s="171">
        <v>45204</v>
      </c>
      <c r="AC49" s="172">
        <v>95000</v>
      </c>
      <c r="AD49" s="276" t="s">
        <v>61</v>
      </c>
      <c r="AE49" s="277">
        <v>21612116</v>
      </c>
      <c r="AF49" s="293">
        <v>45145</v>
      </c>
      <c r="AG49" s="327">
        <v>388000</v>
      </c>
      <c r="AH49" s="133" t="s">
        <v>62</v>
      </c>
      <c r="AI49" s="133">
        <v>28043138</v>
      </c>
      <c r="AJ49" s="171">
        <v>45334</v>
      </c>
      <c r="AK49" s="172">
        <v>95000</v>
      </c>
      <c r="AL49" s="133"/>
      <c r="AM49" s="30" t="s">
        <v>63</v>
      </c>
    </row>
    <row r="50" spans="1:39" ht="15.75" customHeight="1" x14ac:dyDescent="0.25">
      <c r="A50" s="59" t="s">
        <v>726</v>
      </c>
      <c r="B50" s="320"/>
      <c r="C50" s="188"/>
      <c r="D50" s="188"/>
      <c r="E50" s="328"/>
      <c r="F50" s="295"/>
      <c r="G50" s="292"/>
      <c r="H50" s="274"/>
      <c r="I50" s="275"/>
      <c r="J50" s="189">
        <v>28</v>
      </c>
      <c r="K50" s="273"/>
      <c r="L50" s="274"/>
      <c r="M50" s="275"/>
      <c r="N50" s="274"/>
      <c r="O50" s="321"/>
      <c r="P50" s="275"/>
      <c r="Q50" s="321"/>
      <c r="R50" s="275"/>
      <c r="S50" s="133"/>
      <c r="T50" s="133"/>
      <c r="U50" s="133"/>
      <c r="V50" s="133"/>
      <c r="W50" s="133"/>
      <c r="X50" s="133"/>
      <c r="Y50" s="133"/>
      <c r="Z50" s="133">
        <v>65</v>
      </c>
      <c r="AA50" s="136">
        <v>24135413</v>
      </c>
      <c r="AB50" s="171">
        <v>45288</v>
      </c>
      <c r="AC50" s="172">
        <v>293000</v>
      </c>
      <c r="AD50" s="276"/>
      <c r="AE50" s="277"/>
      <c r="AF50" s="293"/>
      <c r="AG50" s="327"/>
      <c r="AH50" s="200" t="s">
        <v>735</v>
      </c>
      <c r="AI50" s="133">
        <v>31056694</v>
      </c>
      <c r="AJ50" s="171">
        <v>45492</v>
      </c>
      <c r="AK50" s="172">
        <v>13095.53</v>
      </c>
      <c r="AL50" s="133"/>
      <c r="AM50" s="200" t="s">
        <v>53</v>
      </c>
    </row>
    <row r="51" spans="1:39" ht="15.75" customHeight="1" x14ac:dyDescent="0.25">
      <c r="A51" s="59" t="s">
        <v>726</v>
      </c>
      <c r="B51" s="320"/>
      <c r="C51" s="188"/>
      <c r="D51" s="188"/>
      <c r="E51" s="328"/>
      <c r="F51" s="295"/>
      <c r="G51" s="292"/>
      <c r="H51" s="274"/>
      <c r="I51" s="275"/>
      <c r="J51" s="189">
        <v>28</v>
      </c>
      <c r="K51" s="273"/>
      <c r="L51" s="274"/>
      <c r="M51" s="275"/>
      <c r="N51" s="274"/>
      <c r="O51" s="321"/>
      <c r="P51" s="275"/>
      <c r="Q51" s="321"/>
      <c r="R51" s="275"/>
      <c r="S51" s="133"/>
      <c r="T51" s="133"/>
      <c r="U51" s="133"/>
      <c r="V51" s="133"/>
      <c r="W51" s="133"/>
      <c r="X51" s="133"/>
      <c r="Y51" s="133"/>
      <c r="Z51" s="133"/>
      <c r="AA51" s="136"/>
      <c r="AB51" s="171"/>
      <c r="AC51" s="172"/>
      <c r="AD51" s="191"/>
      <c r="AE51" s="191"/>
      <c r="AF51" s="191"/>
      <c r="AG51" s="250"/>
      <c r="AH51" s="137" t="s">
        <v>779</v>
      </c>
      <c r="AI51" s="133">
        <v>33074746</v>
      </c>
      <c r="AJ51" s="171">
        <v>45723</v>
      </c>
      <c r="AK51" s="172">
        <v>473.82</v>
      </c>
      <c r="AL51" s="133"/>
      <c r="AM51" s="192" t="s">
        <v>53</v>
      </c>
    </row>
    <row r="52" spans="1:39" ht="15.75" customHeight="1" x14ac:dyDescent="0.25">
      <c r="A52" s="59" t="s">
        <v>726</v>
      </c>
      <c r="B52" s="320"/>
      <c r="C52" s="187"/>
      <c r="D52" s="187"/>
      <c r="E52" s="328"/>
      <c r="F52" s="295"/>
      <c r="G52" s="292"/>
      <c r="H52" s="274"/>
      <c r="I52" s="275"/>
      <c r="J52" s="190">
        <v>28</v>
      </c>
      <c r="K52" s="273"/>
      <c r="L52" s="274"/>
      <c r="M52" s="275"/>
      <c r="N52" s="274"/>
      <c r="O52" s="321"/>
      <c r="P52" s="275"/>
      <c r="Q52" s="321"/>
      <c r="R52" s="275"/>
      <c r="S52" s="14"/>
      <c r="T52" s="14"/>
      <c r="U52" s="14"/>
      <c r="V52" s="14"/>
      <c r="W52" s="14"/>
      <c r="X52" s="14"/>
      <c r="Y52" s="14"/>
      <c r="Z52" s="14"/>
      <c r="AA52" s="119"/>
      <c r="AB52" s="15"/>
      <c r="AC52" s="153"/>
      <c r="AD52" s="184"/>
      <c r="AE52" s="184"/>
      <c r="AF52" s="184"/>
      <c r="AG52" s="251"/>
      <c r="AH52" t="s">
        <v>780</v>
      </c>
      <c r="AI52" s="14">
        <v>33093863</v>
      </c>
      <c r="AJ52" s="15">
        <v>45723</v>
      </c>
      <c r="AK52" s="153">
        <v>7412.58</v>
      </c>
      <c r="AL52" s="14"/>
      <c r="AM52" s="183" t="s">
        <v>53</v>
      </c>
    </row>
    <row r="53" spans="1:39" ht="15.75" customHeight="1" x14ac:dyDescent="0.25">
      <c r="A53" s="59" t="s">
        <v>726</v>
      </c>
      <c r="B53" s="320"/>
      <c r="C53" s="187"/>
      <c r="D53" s="187"/>
      <c r="E53" s="328"/>
      <c r="F53" s="295"/>
      <c r="G53" s="292"/>
      <c r="H53" s="274"/>
      <c r="I53" s="275"/>
      <c r="J53" s="190">
        <v>28</v>
      </c>
      <c r="K53" s="273"/>
      <c r="L53" s="274"/>
      <c r="M53" s="275"/>
      <c r="N53" s="274"/>
      <c r="O53" s="321"/>
      <c r="P53" s="275"/>
      <c r="Q53" s="321"/>
      <c r="R53" s="275"/>
      <c r="S53" s="14"/>
      <c r="T53" s="14"/>
      <c r="U53" s="14"/>
      <c r="V53" s="14"/>
      <c r="W53" s="14"/>
      <c r="X53" s="14"/>
      <c r="Y53" s="14"/>
      <c r="Z53" s="14"/>
      <c r="AA53" s="119"/>
      <c r="AB53" s="15"/>
      <c r="AC53" s="153"/>
      <c r="AD53" s="184"/>
      <c r="AE53" s="184"/>
      <c r="AF53" s="184"/>
      <c r="AG53" s="251"/>
      <c r="AH53" t="s">
        <v>785</v>
      </c>
      <c r="AI53" s="14">
        <v>33093521</v>
      </c>
      <c r="AJ53" s="15">
        <v>45723</v>
      </c>
      <c r="AK53" s="195">
        <v>5191.3500000000004</v>
      </c>
      <c r="AL53" s="14"/>
      <c r="AM53" t="s">
        <v>59</v>
      </c>
    </row>
    <row r="54" spans="1:39" ht="15.75" customHeight="1" x14ac:dyDescent="0.25">
      <c r="A54" s="59" t="s">
        <v>726</v>
      </c>
      <c r="B54" s="284"/>
      <c r="C54" s="187"/>
      <c r="D54" s="187"/>
      <c r="E54" s="291"/>
      <c r="F54" s="291"/>
      <c r="G54" s="287"/>
      <c r="H54" s="279"/>
      <c r="I54" s="279"/>
      <c r="J54" s="190">
        <v>28</v>
      </c>
      <c r="K54" s="279"/>
      <c r="L54" s="279"/>
      <c r="M54" s="279"/>
      <c r="N54" s="279"/>
      <c r="O54" s="279"/>
      <c r="P54" s="279"/>
      <c r="Q54" s="279"/>
      <c r="R54" s="279"/>
      <c r="S54" s="14"/>
      <c r="T54" s="14"/>
      <c r="U54" s="14"/>
      <c r="V54" s="14"/>
      <c r="W54" s="14"/>
      <c r="X54" s="14"/>
      <c r="Y54" s="14"/>
      <c r="Z54" s="14"/>
      <c r="AA54" s="119"/>
      <c r="AB54" s="15"/>
      <c r="AC54" s="153"/>
      <c r="AD54" s="184"/>
      <c r="AE54" s="184"/>
      <c r="AF54" s="184"/>
      <c r="AG54" s="251"/>
      <c r="AH54" t="s">
        <v>786</v>
      </c>
      <c r="AI54" s="14">
        <v>33093627</v>
      </c>
      <c r="AJ54" s="15">
        <v>45723</v>
      </c>
      <c r="AK54" s="195">
        <v>566.91999999999996</v>
      </c>
      <c r="AL54" s="14"/>
      <c r="AM54" t="s">
        <v>53</v>
      </c>
    </row>
    <row r="55" spans="1:39" ht="15.75" customHeight="1" x14ac:dyDescent="0.25">
      <c r="A55" s="59" t="s">
        <v>724</v>
      </c>
      <c r="B55" s="298" t="s">
        <v>818</v>
      </c>
      <c r="C55" s="33"/>
      <c r="D55" s="33"/>
      <c r="E55" s="289" t="s">
        <v>34</v>
      </c>
      <c r="F55" s="289" t="s">
        <v>64</v>
      </c>
      <c r="G55" s="285">
        <v>40</v>
      </c>
      <c r="H55" s="280">
        <v>44562</v>
      </c>
      <c r="I55" s="278">
        <v>9967045</v>
      </c>
      <c r="J55" s="281">
        <v>2793676</v>
      </c>
      <c r="K55" s="272">
        <v>2793676</v>
      </c>
      <c r="L55" s="280">
        <v>44771</v>
      </c>
      <c r="M55" s="278">
        <v>360</v>
      </c>
      <c r="N55" s="280">
        <v>45131</v>
      </c>
      <c r="O55" s="325" t="s">
        <v>36</v>
      </c>
      <c r="P55" s="278">
        <v>15611121</v>
      </c>
      <c r="Q55" s="325" t="s">
        <v>36</v>
      </c>
      <c r="R55" s="278">
        <v>15611121</v>
      </c>
      <c r="S55" s="11"/>
      <c r="T55" s="11"/>
      <c r="U55" s="11"/>
      <c r="V55" s="11"/>
      <c r="W55" s="11"/>
      <c r="X55" s="11"/>
      <c r="Y55" s="11"/>
      <c r="Z55" s="11">
        <v>168</v>
      </c>
      <c r="AA55" s="60">
        <v>16571873</v>
      </c>
      <c r="AB55" s="9">
        <v>44824</v>
      </c>
      <c r="AC55" s="152">
        <v>85832.13</v>
      </c>
      <c r="AD55" s="11" t="s">
        <v>65</v>
      </c>
      <c r="AE55" s="12">
        <v>15622527</v>
      </c>
      <c r="AF55" s="9">
        <v>44769</v>
      </c>
      <c r="AG55" s="152">
        <v>1100000</v>
      </c>
      <c r="AH55" s="35" t="s">
        <v>66</v>
      </c>
      <c r="AI55" s="11">
        <v>17186879</v>
      </c>
      <c r="AJ55" s="9">
        <v>44859</v>
      </c>
      <c r="AK55" s="152">
        <v>85832.13</v>
      </c>
      <c r="AL55" s="11"/>
      <c r="AM55" s="40" t="s">
        <v>44</v>
      </c>
    </row>
    <row r="56" spans="1:39" ht="15.75" customHeight="1" x14ac:dyDescent="0.25">
      <c r="A56" s="59" t="s">
        <v>724</v>
      </c>
      <c r="B56" s="283"/>
      <c r="C56" s="7"/>
      <c r="D56" s="7"/>
      <c r="E56" s="294"/>
      <c r="F56" s="294"/>
      <c r="G56" s="286"/>
      <c r="H56" s="271"/>
      <c r="I56" s="271"/>
      <c r="J56" s="271"/>
      <c r="K56" s="271"/>
      <c r="L56" s="271"/>
      <c r="M56" s="271"/>
      <c r="N56" s="271"/>
      <c r="O56" s="271"/>
      <c r="P56" s="271"/>
      <c r="Q56" s="271"/>
      <c r="R56" s="271"/>
      <c r="Z56" s="26">
        <v>179</v>
      </c>
      <c r="AA56" s="64">
        <v>17415250</v>
      </c>
      <c r="AB56" s="38">
        <v>44882</v>
      </c>
      <c r="AC56" s="157">
        <v>211053.1</v>
      </c>
      <c r="AD56" s="37" t="s">
        <v>67</v>
      </c>
      <c r="AE56" s="29">
        <v>15622531</v>
      </c>
      <c r="AF56" s="27">
        <v>44769</v>
      </c>
      <c r="AG56" s="155">
        <v>490476.19</v>
      </c>
      <c r="AH56" s="26" t="s">
        <v>68</v>
      </c>
      <c r="AI56" s="26">
        <v>17632489</v>
      </c>
      <c r="AJ56" s="27">
        <v>44897</v>
      </c>
      <c r="AK56" s="157">
        <v>211053.1</v>
      </c>
      <c r="AM56" s="40" t="s">
        <v>44</v>
      </c>
    </row>
    <row r="57" spans="1:39" ht="15.75" customHeight="1" x14ac:dyDescent="0.25">
      <c r="A57" s="59" t="s">
        <v>724</v>
      </c>
      <c r="B57" s="283"/>
      <c r="C57" s="7"/>
      <c r="D57" s="7"/>
      <c r="E57" s="294"/>
      <c r="F57" s="294"/>
      <c r="G57" s="286"/>
      <c r="H57" s="271"/>
      <c r="I57" s="271"/>
      <c r="J57" s="271"/>
      <c r="K57" s="271"/>
      <c r="L57" s="271"/>
      <c r="M57" s="271"/>
      <c r="N57" s="271"/>
      <c r="O57" s="271"/>
      <c r="P57" s="271"/>
      <c r="Q57" s="271"/>
      <c r="R57" s="271"/>
      <c r="Z57" s="26">
        <v>186</v>
      </c>
      <c r="AA57" s="62">
        <v>17816196</v>
      </c>
      <c r="AB57" s="27">
        <v>44910</v>
      </c>
      <c r="AC57" s="157">
        <v>449475.19</v>
      </c>
      <c r="AD57" s="37" t="s">
        <v>69</v>
      </c>
      <c r="AE57" s="41">
        <v>15622536</v>
      </c>
      <c r="AF57" s="27">
        <v>44769</v>
      </c>
      <c r="AG57" s="155">
        <v>1195059.58</v>
      </c>
      <c r="AH57" s="26" t="s">
        <v>70</v>
      </c>
      <c r="AI57" s="26">
        <v>17911566</v>
      </c>
      <c r="AJ57" s="27">
        <v>44916</v>
      </c>
      <c r="AK57" s="155">
        <v>449475.19</v>
      </c>
      <c r="AM57" s="40" t="s">
        <v>44</v>
      </c>
    </row>
    <row r="58" spans="1:39" ht="15.75" customHeight="1" x14ac:dyDescent="0.25">
      <c r="A58" s="59" t="s">
        <v>724</v>
      </c>
      <c r="B58" s="283"/>
      <c r="C58" s="7"/>
      <c r="D58" s="7"/>
      <c r="E58" s="294"/>
      <c r="F58" s="294"/>
      <c r="G58" s="286"/>
      <c r="H58" s="271"/>
      <c r="I58" s="271"/>
      <c r="J58" s="271"/>
      <c r="K58" s="271"/>
      <c r="L58" s="271"/>
      <c r="M58" s="271"/>
      <c r="N58" s="271"/>
      <c r="O58" s="271"/>
      <c r="P58" s="271"/>
      <c r="Q58" s="271"/>
      <c r="R58" s="271"/>
      <c r="Z58" s="26">
        <v>192</v>
      </c>
      <c r="AA58" s="62">
        <v>18400586</v>
      </c>
      <c r="AB58" s="38">
        <v>44950</v>
      </c>
      <c r="AC58" s="157">
        <v>168331.61</v>
      </c>
      <c r="AD58" s="37" t="s">
        <v>71</v>
      </c>
      <c r="AE58" s="41">
        <v>15622543</v>
      </c>
      <c r="AF58" s="27">
        <v>44769</v>
      </c>
      <c r="AG58" s="155">
        <v>8140.23</v>
      </c>
      <c r="AH58" s="26" t="s">
        <v>72</v>
      </c>
      <c r="AI58" s="26">
        <v>18563524</v>
      </c>
      <c r="AJ58" s="27">
        <v>44958</v>
      </c>
      <c r="AK58" s="155">
        <v>168331.61</v>
      </c>
      <c r="AM58" s="40" t="s">
        <v>44</v>
      </c>
    </row>
    <row r="59" spans="1:39" ht="15.75" customHeight="1" x14ac:dyDescent="0.25">
      <c r="A59" s="59" t="s">
        <v>724</v>
      </c>
      <c r="B59" s="283"/>
      <c r="C59" s="7"/>
      <c r="D59" s="7"/>
      <c r="E59" s="294"/>
      <c r="F59" s="294"/>
      <c r="G59" s="286"/>
      <c r="H59" s="271"/>
      <c r="I59" s="271"/>
      <c r="J59" s="271"/>
      <c r="K59" s="271"/>
      <c r="L59" s="271"/>
      <c r="M59" s="271"/>
      <c r="N59" s="271"/>
      <c r="O59" s="271"/>
      <c r="P59" s="271"/>
      <c r="Q59" s="271"/>
      <c r="R59" s="271"/>
      <c r="Z59" s="26">
        <v>194</v>
      </c>
      <c r="AA59" s="64">
        <v>19019221</v>
      </c>
      <c r="AB59" s="38">
        <v>44993</v>
      </c>
      <c r="AC59" s="157">
        <v>398781.55</v>
      </c>
      <c r="AD59" s="37" t="s">
        <v>73</v>
      </c>
      <c r="AE59" s="41">
        <v>22034759</v>
      </c>
      <c r="AF59" s="38">
        <v>45168</v>
      </c>
      <c r="AG59" s="155">
        <v>8140.23</v>
      </c>
      <c r="AH59" s="26" t="s">
        <v>74</v>
      </c>
      <c r="AI59" s="26">
        <v>19190582</v>
      </c>
      <c r="AJ59" s="27">
        <v>44998</v>
      </c>
      <c r="AK59" s="155">
        <v>185307.97</v>
      </c>
      <c r="AM59" s="40" t="s">
        <v>44</v>
      </c>
    </row>
    <row r="60" spans="1:39" ht="15.75" customHeight="1" x14ac:dyDescent="0.25">
      <c r="A60" s="59" t="s">
        <v>724</v>
      </c>
      <c r="B60" s="283"/>
      <c r="C60" s="7"/>
      <c r="D60" s="7"/>
      <c r="E60" s="294"/>
      <c r="F60" s="294"/>
      <c r="G60" s="286"/>
      <c r="H60" s="271"/>
      <c r="I60" s="271"/>
      <c r="J60" s="271"/>
      <c r="K60" s="271"/>
      <c r="L60" s="271"/>
      <c r="M60" s="271"/>
      <c r="N60" s="271"/>
      <c r="O60" s="271"/>
      <c r="P60" s="271"/>
      <c r="Q60" s="271"/>
      <c r="R60" s="271"/>
      <c r="Z60" s="26">
        <v>196</v>
      </c>
      <c r="AA60" s="64">
        <v>19780693</v>
      </c>
      <c r="AB60" s="38">
        <v>45035</v>
      </c>
      <c r="AC60" s="157">
        <v>424540.35</v>
      </c>
      <c r="AD60" s="37" t="s">
        <v>75</v>
      </c>
      <c r="AE60" s="41">
        <v>22249537</v>
      </c>
      <c r="AF60" s="38">
        <v>45181</v>
      </c>
      <c r="AG60" s="155">
        <v>375710.39</v>
      </c>
      <c r="AH60" s="26" t="s">
        <v>76</v>
      </c>
      <c r="AI60" s="26">
        <v>19190611</v>
      </c>
      <c r="AJ60" s="27">
        <v>44998</v>
      </c>
      <c r="AK60" s="157">
        <v>213473.58</v>
      </c>
      <c r="AM60" s="40" t="s">
        <v>77</v>
      </c>
    </row>
    <row r="61" spans="1:39" ht="15.75" customHeight="1" x14ac:dyDescent="0.25">
      <c r="A61" s="59" t="s">
        <v>724</v>
      </c>
      <c r="B61" s="283"/>
      <c r="C61" s="7"/>
      <c r="D61" s="7"/>
      <c r="E61" s="294"/>
      <c r="F61" s="294"/>
      <c r="G61" s="286"/>
      <c r="H61" s="271"/>
      <c r="I61" s="271"/>
      <c r="J61" s="271"/>
      <c r="K61" s="271"/>
      <c r="L61" s="271"/>
      <c r="M61" s="271"/>
      <c r="N61" s="271"/>
      <c r="O61" s="271"/>
      <c r="P61" s="271"/>
      <c r="Q61" s="271"/>
      <c r="R61" s="271"/>
      <c r="Z61" s="26">
        <v>204</v>
      </c>
      <c r="AA61" s="64">
        <v>20941179</v>
      </c>
      <c r="AB61" s="38">
        <v>45104</v>
      </c>
      <c r="AC61" s="157">
        <v>352257.86</v>
      </c>
      <c r="AD61" s="37" t="s">
        <v>78</v>
      </c>
      <c r="AE61" s="29">
        <v>22249459</v>
      </c>
      <c r="AF61" s="38">
        <v>45181</v>
      </c>
      <c r="AG61" s="155">
        <v>41487.51</v>
      </c>
      <c r="AH61" s="26" t="s">
        <v>79</v>
      </c>
      <c r="AI61" s="26">
        <v>20071279</v>
      </c>
      <c r="AJ61" s="27">
        <v>45044</v>
      </c>
      <c r="AK61" s="157">
        <v>277002.61</v>
      </c>
      <c r="AM61" s="40" t="s">
        <v>77</v>
      </c>
    </row>
    <row r="62" spans="1:39" ht="15.75" customHeight="1" x14ac:dyDescent="0.25">
      <c r="A62" s="59" t="s">
        <v>724</v>
      </c>
      <c r="B62" s="283"/>
      <c r="C62" s="7"/>
      <c r="D62" s="7"/>
      <c r="E62" s="294"/>
      <c r="F62" s="294"/>
      <c r="G62" s="286"/>
      <c r="H62" s="271"/>
      <c r="I62" s="271"/>
      <c r="J62" s="271"/>
      <c r="K62" s="271"/>
      <c r="L62" s="271"/>
      <c r="M62" s="271"/>
      <c r="N62" s="271"/>
      <c r="O62" s="271"/>
      <c r="P62" s="271"/>
      <c r="Q62" s="271"/>
      <c r="R62" s="271"/>
      <c r="Z62" s="26">
        <v>209</v>
      </c>
      <c r="AA62" s="64">
        <v>21745523</v>
      </c>
      <c r="AB62" s="38">
        <v>45147</v>
      </c>
      <c r="AC62" s="157">
        <v>319553.59000000003</v>
      </c>
      <c r="AD62" s="37" t="s">
        <v>80</v>
      </c>
      <c r="AE62" s="29">
        <v>23932507</v>
      </c>
      <c r="AF62" s="38">
        <v>45278</v>
      </c>
      <c r="AG62" s="155">
        <v>71000</v>
      </c>
      <c r="AH62" s="26" t="s">
        <v>81</v>
      </c>
      <c r="AI62" s="26">
        <v>20071353</v>
      </c>
      <c r="AJ62" s="27">
        <v>45044</v>
      </c>
      <c r="AK62" s="155">
        <v>147537.74</v>
      </c>
      <c r="AM62" s="40" t="s">
        <v>82</v>
      </c>
    </row>
    <row r="63" spans="1:39" ht="15.75" customHeight="1" x14ac:dyDescent="0.25">
      <c r="A63" s="59" t="s">
        <v>724</v>
      </c>
      <c r="B63" s="283"/>
      <c r="C63" s="7"/>
      <c r="D63" s="7"/>
      <c r="E63" s="294"/>
      <c r="F63" s="294"/>
      <c r="G63" s="286"/>
      <c r="H63" s="271"/>
      <c r="I63" s="271"/>
      <c r="J63" s="271"/>
      <c r="K63" s="271"/>
      <c r="L63" s="271"/>
      <c r="M63" s="271"/>
      <c r="N63" s="271"/>
      <c r="O63" s="271"/>
      <c r="P63" s="271"/>
      <c r="Q63" s="271"/>
      <c r="R63" s="271"/>
      <c r="Z63" s="26">
        <v>215</v>
      </c>
      <c r="AA63" s="64">
        <v>22434201</v>
      </c>
      <c r="AB63" s="38">
        <v>45190</v>
      </c>
      <c r="AC63" s="157">
        <v>31027.759999999998</v>
      </c>
      <c r="AD63" s="37" t="s">
        <v>83</v>
      </c>
      <c r="AE63" s="41">
        <v>23932524</v>
      </c>
      <c r="AF63" s="38">
        <v>45278</v>
      </c>
      <c r="AG63" s="155">
        <v>1193808.95</v>
      </c>
      <c r="AH63" s="26" t="s">
        <v>84</v>
      </c>
      <c r="AI63" s="26">
        <v>21753864</v>
      </c>
      <c r="AJ63" s="27">
        <v>45114</v>
      </c>
      <c r="AK63" s="157">
        <v>352257.86</v>
      </c>
      <c r="AM63" s="40" t="s">
        <v>82</v>
      </c>
    </row>
    <row r="64" spans="1:39" ht="15.75" customHeight="1" x14ac:dyDescent="0.25">
      <c r="A64" s="59" t="s">
        <v>724</v>
      </c>
      <c r="B64" s="283"/>
      <c r="C64" s="7"/>
      <c r="D64" s="7"/>
      <c r="E64" s="294"/>
      <c r="F64" s="294"/>
      <c r="G64" s="286"/>
      <c r="H64" s="271"/>
      <c r="I64" s="271"/>
      <c r="J64" s="271"/>
      <c r="K64" s="271"/>
      <c r="L64" s="271"/>
      <c r="M64" s="271"/>
      <c r="N64" s="271"/>
      <c r="O64" s="271"/>
      <c r="P64" s="271"/>
      <c r="Q64" s="271"/>
      <c r="R64" s="271"/>
      <c r="Z64" s="26">
        <v>218</v>
      </c>
      <c r="AA64" s="64">
        <v>23353173</v>
      </c>
      <c r="AB64" s="38">
        <v>45236</v>
      </c>
      <c r="AC64" s="157">
        <v>130630.63</v>
      </c>
      <c r="AD64" s="37" t="s">
        <v>85</v>
      </c>
      <c r="AE64" s="29">
        <v>24250119</v>
      </c>
      <c r="AF64" s="38">
        <v>45289</v>
      </c>
      <c r="AG64" s="155">
        <v>71000</v>
      </c>
      <c r="AH64" s="26" t="s">
        <v>86</v>
      </c>
      <c r="AI64" s="26">
        <v>21993721</v>
      </c>
      <c r="AJ64" s="38">
        <v>45161</v>
      </c>
      <c r="AK64" s="157">
        <v>315718.95</v>
      </c>
      <c r="AM64" s="40" t="s">
        <v>82</v>
      </c>
    </row>
    <row r="65" spans="1:39" ht="15.75" customHeight="1" x14ac:dyDescent="0.25">
      <c r="A65" s="59" t="s">
        <v>724</v>
      </c>
      <c r="B65" s="283"/>
      <c r="C65" s="7"/>
      <c r="D65" s="7"/>
      <c r="E65" s="294"/>
      <c r="F65" s="294"/>
      <c r="G65" s="286"/>
      <c r="H65" s="271"/>
      <c r="I65" s="271"/>
      <c r="J65" s="271"/>
      <c r="K65" s="271"/>
      <c r="L65" s="271"/>
      <c r="M65" s="271"/>
      <c r="N65" s="271"/>
      <c r="O65" s="271"/>
      <c r="P65" s="271"/>
      <c r="Q65" s="271"/>
      <c r="R65" s="271"/>
      <c r="Z65" s="26">
        <v>223</v>
      </c>
      <c r="AA65" s="64">
        <v>23913307</v>
      </c>
      <c r="AB65" s="38">
        <v>45275</v>
      </c>
      <c r="AC65" s="157">
        <v>932538.04</v>
      </c>
      <c r="AD65" s="37" t="s">
        <v>87</v>
      </c>
      <c r="AE65" s="29">
        <v>25038090</v>
      </c>
      <c r="AF65" s="38">
        <v>45349</v>
      </c>
      <c r="AG65" s="155">
        <v>71000</v>
      </c>
      <c r="AH65" s="37" t="s">
        <v>88</v>
      </c>
      <c r="AI65" s="26">
        <v>21993838</v>
      </c>
      <c r="AJ65" s="38">
        <v>45161</v>
      </c>
      <c r="AK65" s="157">
        <v>3834.64</v>
      </c>
      <c r="AM65" s="40" t="s">
        <v>82</v>
      </c>
    </row>
    <row r="66" spans="1:39" ht="15.75" customHeight="1" x14ac:dyDescent="0.25">
      <c r="A66" s="59" t="s">
        <v>727</v>
      </c>
      <c r="B66" s="283"/>
      <c r="C66" s="7"/>
      <c r="D66" s="7"/>
      <c r="E66" s="294"/>
      <c r="F66" s="294"/>
      <c r="G66" s="286"/>
      <c r="H66" s="271"/>
      <c r="I66" s="271"/>
      <c r="J66" s="271"/>
      <c r="K66" s="271"/>
      <c r="L66" s="271"/>
      <c r="M66" s="271"/>
      <c r="N66" s="271"/>
      <c r="O66" s="271"/>
      <c r="P66" s="271"/>
      <c r="Q66" s="271"/>
      <c r="R66" s="271"/>
      <c r="Z66" s="26">
        <v>228</v>
      </c>
      <c r="AA66" s="64">
        <v>24701525</v>
      </c>
      <c r="AB66" s="38">
        <v>45323</v>
      </c>
      <c r="AC66" s="157">
        <v>92878.87</v>
      </c>
      <c r="AD66" s="37" t="s">
        <v>89</v>
      </c>
      <c r="AE66" s="29">
        <v>25038181</v>
      </c>
      <c r="AF66" s="38">
        <v>45349</v>
      </c>
      <c r="AG66" s="155">
        <v>123741.18</v>
      </c>
      <c r="AH66" s="26" t="s">
        <v>90</v>
      </c>
      <c r="AI66" s="26">
        <v>22632954</v>
      </c>
      <c r="AJ66" s="38">
        <v>45197</v>
      </c>
      <c r="AK66" s="157">
        <v>116287.01</v>
      </c>
      <c r="AM66" s="40" t="s">
        <v>44</v>
      </c>
    </row>
    <row r="67" spans="1:39" ht="15.75" customHeight="1" x14ac:dyDescent="0.25">
      <c r="A67" s="59" t="s">
        <v>727</v>
      </c>
      <c r="B67" s="283"/>
      <c r="C67" s="7"/>
      <c r="D67" s="7"/>
      <c r="E67" s="294"/>
      <c r="F67" s="294"/>
      <c r="G67" s="286"/>
      <c r="H67" s="271"/>
      <c r="I67" s="271"/>
      <c r="J67" s="271"/>
      <c r="K67" s="271"/>
      <c r="L67" s="271"/>
      <c r="M67" s="271"/>
      <c r="N67" s="271"/>
      <c r="O67" s="271"/>
      <c r="P67" s="271"/>
      <c r="Q67" s="271"/>
      <c r="R67" s="271"/>
      <c r="Z67" s="26">
        <v>240</v>
      </c>
      <c r="AA67" s="64">
        <v>25686032</v>
      </c>
      <c r="AB67" s="38">
        <v>45378</v>
      </c>
      <c r="AC67" s="157">
        <v>135075.79</v>
      </c>
      <c r="AD67" s="37" t="s">
        <v>91</v>
      </c>
      <c r="AE67" s="29">
        <v>26544952</v>
      </c>
      <c r="AF67" s="38">
        <v>45426</v>
      </c>
      <c r="AG67" s="155">
        <v>65019.12</v>
      </c>
      <c r="AH67" s="26" t="s">
        <v>92</v>
      </c>
      <c r="AI67" s="26">
        <v>22649237</v>
      </c>
      <c r="AJ67" s="38">
        <v>45204</v>
      </c>
      <c r="AK67" s="157">
        <v>30665.43</v>
      </c>
      <c r="AM67" s="40" t="s">
        <v>44</v>
      </c>
    </row>
    <row r="68" spans="1:39" ht="15.75" customHeight="1" x14ac:dyDescent="0.25">
      <c r="A68" s="59" t="s">
        <v>727</v>
      </c>
      <c r="B68" s="283"/>
      <c r="C68" s="7"/>
      <c r="D68" s="7"/>
      <c r="E68" s="294"/>
      <c r="F68" s="294"/>
      <c r="G68" s="286"/>
      <c r="H68" s="271"/>
      <c r="I68" s="271"/>
      <c r="J68" s="271"/>
      <c r="K68" s="271"/>
      <c r="L68" s="271"/>
      <c r="M68" s="271"/>
      <c r="N68" s="271"/>
      <c r="O68" s="271"/>
      <c r="P68" s="271"/>
      <c r="Q68" s="271"/>
      <c r="R68" s="271"/>
      <c r="Z68" s="26">
        <v>244</v>
      </c>
      <c r="AA68" s="64">
        <v>26219049</v>
      </c>
      <c r="AB68" s="38">
        <v>45394</v>
      </c>
      <c r="AC68" s="157">
        <v>8958.61</v>
      </c>
      <c r="AD68" s="37" t="s">
        <v>93</v>
      </c>
      <c r="AE68" s="41">
        <v>28150706</v>
      </c>
      <c r="AF68" s="38">
        <v>45505</v>
      </c>
      <c r="AG68" s="155">
        <v>142076.72</v>
      </c>
      <c r="AH68" s="26" t="s">
        <v>94</v>
      </c>
      <c r="AI68" s="26">
        <v>24569372</v>
      </c>
      <c r="AJ68" s="27">
        <v>45253</v>
      </c>
      <c r="AK68" s="157">
        <v>129063.06</v>
      </c>
      <c r="AM68" s="40" t="s">
        <v>44</v>
      </c>
    </row>
    <row r="69" spans="1:39" ht="15.75" customHeight="1" x14ac:dyDescent="0.25">
      <c r="A69" s="59" t="s">
        <v>727</v>
      </c>
      <c r="B69" s="283"/>
      <c r="C69" s="7"/>
      <c r="D69" s="7"/>
      <c r="E69" s="294"/>
      <c r="F69" s="294"/>
      <c r="G69" s="286"/>
      <c r="H69" s="271"/>
      <c r="I69" s="271"/>
      <c r="J69" s="271"/>
      <c r="K69" s="271"/>
      <c r="L69" s="271"/>
      <c r="M69" s="271"/>
      <c r="N69" s="271"/>
      <c r="O69" s="271"/>
      <c r="P69" s="271"/>
      <c r="Q69" s="271"/>
      <c r="R69" s="271"/>
      <c r="Z69" s="26">
        <v>246</v>
      </c>
      <c r="AA69" s="64">
        <v>26280935</v>
      </c>
      <c r="AB69" s="38">
        <v>45408</v>
      </c>
      <c r="AC69" s="157">
        <v>41782.519999999997</v>
      </c>
      <c r="AE69" s="42"/>
      <c r="AG69" s="155"/>
      <c r="AH69" s="26" t="s">
        <v>95</v>
      </c>
      <c r="AI69" s="26">
        <v>24059492</v>
      </c>
      <c r="AJ69" s="38">
        <v>45281</v>
      </c>
      <c r="AK69" s="157">
        <v>777119.01</v>
      </c>
      <c r="AM69" s="40" t="s">
        <v>44</v>
      </c>
    </row>
    <row r="70" spans="1:39" ht="15.75" customHeight="1" x14ac:dyDescent="0.25">
      <c r="A70" s="59" t="s">
        <v>727</v>
      </c>
      <c r="B70" s="283"/>
      <c r="C70" s="7"/>
      <c r="D70" s="7"/>
      <c r="E70" s="294"/>
      <c r="F70" s="294"/>
      <c r="G70" s="286"/>
      <c r="H70" s="271"/>
      <c r="I70" s="271"/>
      <c r="J70" s="271"/>
      <c r="K70" s="271"/>
      <c r="L70" s="271"/>
      <c r="M70" s="271"/>
      <c r="N70" s="271"/>
      <c r="O70" s="271"/>
      <c r="P70" s="271"/>
      <c r="Q70" s="271"/>
      <c r="R70" s="271"/>
      <c r="Z70" s="26">
        <v>250</v>
      </c>
      <c r="AA70" s="64">
        <v>27196093</v>
      </c>
      <c r="AB70" s="38">
        <v>45453</v>
      </c>
      <c r="AC70" s="157">
        <v>37219.269999999997</v>
      </c>
      <c r="AE70" s="42"/>
      <c r="AG70" s="155"/>
      <c r="AH70" s="26" t="s">
        <v>96</v>
      </c>
      <c r="AI70" s="26">
        <v>24059501</v>
      </c>
      <c r="AJ70" s="38">
        <v>45282</v>
      </c>
      <c r="AK70" s="157">
        <v>144228.57999999999</v>
      </c>
      <c r="AM70" s="40" t="s">
        <v>82</v>
      </c>
    </row>
    <row r="71" spans="1:39" ht="15.75" customHeight="1" x14ac:dyDescent="0.25">
      <c r="A71" s="59" t="s">
        <v>727</v>
      </c>
      <c r="B71" s="283"/>
      <c r="C71" s="7"/>
      <c r="D71" s="7"/>
      <c r="E71" s="294"/>
      <c r="F71" s="294"/>
      <c r="G71" s="286"/>
      <c r="H71" s="271"/>
      <c r="I71" s="271"/>
      <c r="J71" s="271"/>
      <c r="K71" s="271"/>
      <c r="L71" s="271"/>
      <c r="M71" s="271"/>
      <c r="N71" s="271"/>
      <c r="O71" s="271"/>
      <c r="P71" s="271"/>
      <c r="Q71" s="271"/>
      <c r="R71" s="271"/>
      <c r="AA71" s="64"/>
      <c r="AC71" s="157"/>
      <c r="AE71" s="42"/>
      <c r="AG71" s="155"/>
      <c r="AH71" s="26" t="s">
        <v>97</v>
      </c>
      <c r="AI71" s="26">
        <v>25613756</v>
      </c>
      <c r="AJ71" s="38">
        <v>45357</v>
      </c>
      <c r="AK71" s="157">
        <v>31161.78</v>
      </c>
      <c r="AM71" s="40" t="s">
        <v>44</v>
      </c>
    </row>
    <row r="72" spans="1:39" ht="15.75" customHeight="1" x14ac:dyDescent="0.25">
      <c r="A72" s="59" t="s">
        <v>727</v>
      </c>
      <c r="B72" s="283"/>
      <c r="C72" s="7"/>
      <c r="D72" s="7"/>
      <c r="E72" s="294"/>
      <c r="F72" s="294"/>
      <c r="G72" s="286"/>
      <c r="H72" s="271"/>
      <c r="I72" s="271"/>
      <c r="J72" s="271"/>
      <c r="K72" s="271"/>
      <c r="L72" s="271"/>
      <c r="M72" s="271"/>
      <c r="N72" s="271"/>
      <c r="O72" s="271"/>
      <c r="P72" s="271"/>
      <c r="Q72" s="271"/>
      <c r="R72" s="271"/>
      <c r="AA72" s="64"/>
      <c r="AC72" s="157"/>
      <c r="AE72" s="42"/>
      <c r="AG72" s="155"/>
      <c r="AH72" s="26" t="s">
        <v>98</v>
      </c>
      <c r="AI72" s="26">
        <v>25613870</v>
      </c>
      <c r="AJ72" s="38">
        <v>45357</v>
      </c>
      <c r="AK72" s="157">
        <v>60602.55</v>
      </c>
      <c r="AM72" s="40" t="s">
        <v>82</v>
      </c>
    </row>
    <row r="73" spans="1:39" ht="15.75" customHeight="1" x14ac:dyDescent="0.25">
      <c r="A73" s="59" t="s">
        <v>727</v>
      </c>
      <c r="B73" s="283"/>
      <c r="C73" s="7"/>
      <c r="D73" s="7"/>
      <c r="E73" s="294"/>
      <c r="F73" s="294"/>
      <c r="G73" s="286"/>
      <c r="H73" s="271"/>
      <c r="I73" s="271"/>
      <c r="J73" s="271"/>
      <c r="K73" s="271"/>
      <c r="L73" s="271"/>
      <c r="M73" s="271"/>
      <c r="N73" s="271"/>
      <c r="O73" s="271"/>
      <c r="P73" s="271"/>
      <c r="Q73" s="271"/>
      <c r="R73" s="271"/>
      <c r="AA73" s="64"/>
      <c r="AC73" s="157"/>
      <c r="AE73" s="42"/>
      <c r="AG73" s="155"/>
      <c r="AH73" s="26" t="s">
        <v>99</v>
      </c>
      <c r="AI73" s="26">
        <v>26434874</v>
      </c>
      <c r="AJ73" s="38">
        <v>45392</v>
      </c>
      <c r="AK73" s="157">
        <v>133454.88</v>
      </c>
      <c r="AM73" s="40" t="s">
        <v>82</v>
      </c>
    </row>
    <row r="74" spans="1:39" ht="15.75" customHeight="1" x14ac:dyDescent="0.25">
      <c r="A74" s="59" t="s">
        <v>727</v>
      </c>
      <c r="B74" s="283"/>
      <c r="C74" s="7"/>
      <c r="D74" s="7"/>
      <c r="E74" s="294"/>
      <c r="F74" s="294"/>
      <c r="G74" s="286"/>
      <c r="H74" s="271"/>
      <c r="I74" s="271"/>
      <c r="J74" s="271"/>
      <c r="K74" s="271"/>
      <c r="L74" s="271"/>
      <c r="M74" s="271"/>
      <c r="N74" s="271"/>
      <c r="O74" s="271"/>
      <c r="P74" s="271"/>
      <c r="Q74" s="271"/>
      <c r="R74" s="271"/>
      <c r="AA74" s="64"/>
      <c r="AC74" s="157"/>
      <c r="AE74" s="42"/>
      <c r="AG74" s="155"/>
      <c r="AH74" s="26" t="s">
        <v>100</v>
      </c>
      <c r="AI74" s="26">
        <v>26435317</v>
      </c>
      <c r="AJ74" s="38">
        <v>45418</v>
      </c>
      <c r="AK74" s="157">
        <v>8854.11</v>
      </c>
      <c r="AM74" s="40" t="s">
        <v>63</v>
      </c>
    </row>
    <row r="75" spans="1:39" ht="15.75" customHeight="1" x14ac:dyDescent="0.25">
      <c r="A75" s="59" t="s">
        <v>727</v>
      </c>
      <c r="B75" s="283"/>
      <c r="C75" s="7"/>
      <c r="D75" s="7"/>
      <c r="E75" s="294"/>
      <c r="F75" s="294"/>
      <c r="G75" s="286"/>
      <c r="H75" s="271"/>
      <c r="I75" s="271"/>
      <c r="J75" s="271"/>
      <c r="K75" s="271"/>
      <c r="L75" s="271"/>
      <c r="M75" s="271"/>
      <c r="N75" s="271"/>
      <c r="O75" s="271"/>
      <c r="P75" s="271"/>
      <c r="Q75" s="271"/>
      <c r="R75" s="271"/>
      <c r="AA75" s="64"/>
      <c r="AC75" s="157"/>
      <c r="AE75" s="42"/>
      <c r="AG75" s="155"/>
      <c r="AH75" s="37" t="s">
        <v>101</v>
      </c>
      <c r="AI75" s="26">
        <v>27482574</v>
      </c>
      <c r="AJ75" s="38">
        <v>45441</v>
      </c>
      <c r="AK75" s="157">
        <v>13759.88</v>
      </c>
      <c r="AM75" s="40" t="s">
        <v>63</v>
      </c>
    </row>
    <row r="76" spans="1:39" ht="15.75" customHeight="1" x14ac:dyDescent="0.25">
      <c r="A76" s="59" t="s">
        <v>727</v>
      </c>
      <c r="B76" s="283"/>
      <c r="C76" s="7"/>
      <c r="D76" s="7"/>
      <c r="E76" s="294"/>
      <c r="F76" s="294"/>
      <c r="G76" s="286"/>
      <c r="H76" s="271"/>
      <c r="I76" s="271"/>
      <c r="J76" s="271"/>
      <c r="K76" s="271"/>
      <c r="L76" s="271"/>
      <c r="M76" s="271"/>
      <c r="N76" s="271"/>
      <c r="O76" s="271"/>
      <c r="P76" s="271"/>
      <c r="Q76" s="271"/>
      <c r="R76" s="271"/>
      <c r="AA76" s="64"/>
      <c r="AC76" s="157"/>
      <c r="AE76" s="42"/>
      <c r="AG76" s="155"/>
      <c r="AH76" s="26" t="s">
        <v>102</v>
      </c>
      <c r="AI76" s="26">
        <v>27482629</v>
      </c>
      <c r="AJ76" s="38">
        <v>45453</v>
      </c>
      <c r="AK76" s="157">
        <v>13759.88</v>
      </c>
      <c r="AM76" s="40" t="s">
        <v>63</v>
      </c>
    </row>
    <row r="77" spans="1:39" ht="15.75" customHeight="1" x14ac:dyDescent="0.25">
      <c r="A77" s="59" t="s">
        <v>727</v>
      </c>
      <c r="B77" s="283"/>
      <c r="C77" s="7"/>
      <c r="D77" s="7"/>
      <c r="E77" s="294"/>
      <c r="F77" s="294"/>
      <c r="G77" s="286"/>
      <c r="H77" s="271"/>
      <c r="I77" s="271"/>
      <c r="J77" s="271"/>
      <c r="K77" s="271"/>
      <c r="L77" s="271"/>
      <c r="M77" s="271"/>
      <c r="N77" s="271"/>
      <c r="O77" s="271"/>
      <c r="P77" s="271"/>
      <c r="Q77" s="271"/>
      <c r="R77" s="271"/>
      <c r="AA77" s="64"/>
      <c r="AC77" s="157"/>
      <c r="AE77" s="42"/>
      <c r="AG77" s="155"/>
      <c r="AH77" s="26" t="s">
        <v>103</v>
      </c>
      <c r="AI77" s="26">
        <v>27482694</v>
      </c>
      <c r="AJ77" s="38">
        <v>45449</v>
      </c>
      <c r="AK77" s="157">
        <v>13761.38</v>
      </c>
      <c r="AM77" s="40" t="s">
        <v>63</v>
      </c>
    </row>
    <row r="78" spans="1:39" ht="15.75" customHeight="1" x14ac:dyDescent="0.25">
      <c r="A78" s="59" t="s">
        <v>727</v>
      </c>
      <c r="B78" s="296"/>
      <c r="C78" s="43"/>
      <c r="D78" s="43"/>
      <c r="E78" s="295"/>
      <c r="F78" s="295"/>
      <c r="G78" s="286"/>
      <c r="H78" s="271"/>
      <c r="I78" s="271"/>
      <c r="J78" s="271"/>
      <c r="K78" s="271"/>
      <c r="L78" s="271"/>
      <c r="M78" s="271"/>
      <c r="N78" s="271"/>
      <c r="O78" s="271"/>
      <c r="P78" s="271"/>
      <c r="Q78" s="271"/>
      <c r="R78" s="271"/>
      <c r="S78" s="44"/>
      <c r="T78" s="44"/>
      <c r="U78" s="44"/>
      <c r="V78" s="44"/>
      <c r="W78" s="44"/>
      <c r="X78" s="44"/>
      <c r="Y78" s="44"/>
      <c r="Z78" s="44"/>
      <c r="AA78" s="121"/>
      <c r="AB78" s="47"/>
      <c r="AC78" s="158"/>
      <c r="AD78" s="44"/>
      <c r="AE78" s="46"/>
      <c r="AF78" s="44"/>
      <c r="AG78" s="153"/>
      <c r="AH78" s="14" t="s">
        <v>104</v>
      </c>
      <c r="AI78" s="14">
        <v>27682722</v>
      </c>
      <c r="AJ78" s="47">
        <v>45481</v>
      </c>
      <c r="AK78" s="158">
        <v>36772.639999999999</v>
      </c>
      <c r="AL78" s="44"/>
      <c r="AM78" s="48" t="s">
        <v>44</v>
      </c>
    </row>
    <row r="79" spans="1:39" ht="15.75" customHeight="1" x14ac:dyDescent="0.25">
      <c r="A79" s="59" t="s">
        <v>727</v>
      </c>
      <c r="B79" s="296"/>
      <c r="C79" s="43"/>
      <c r="D79" s="43"/>
      <c r="E79" s="295"/>
      <c r="F79" s="295"/>
      <c r="G79" s="286"/>
      <c r="H79" s="271"/>
      <c r="I79" s="271"/>
      <c r="J79" s="271"/>
      <c r="K79" s="271"/>
      <c r="L79" s="271"/>
      <c r="M79" s="271"/>
      <c r="N79" s="271"/>
      <c r="O79" s="271"/>
      <c r="P79" s="271"/>
      <c r="Q79" s="271"/>
      <c r="R79" s="271"/>
      <c r="S79" s="44"/>
      <c r="T79" s="44"/>
      <c r="U79" s="44"/>
      <c r="V79" s="44"/>
      <c r="W79" s="44"/>
      <c r="X79" s="44"/>
      <c r="Y79" s="44"/>
      <c r="Z79" s="44">
        <v>266</v>
      </c>
      <c r="AA79" s="121">
        <v>28901577</v>
      </c>
      <c r="AB79" s="47">
        <v>45537</v>
      </c>
      <c r="AC79" s="185">
        <v>21454.73</v>
      </c>
      <c r="AD79" s="37" t="s">
        <v>93</v>
      </c>
      <c r="AE79" s="41">
        <v>28150706</v>
      </c>
      <c r="AF79" s="38">
        <v>45505</v>
      </c>
      <c r="AG79" s="155">
        <v>142076.72</v>
      </c>
      <c r="AH79" t="s">
        <v>787</v>
      </c>
      <c r="AI79" s="14">
        <v>29245622</v>
      </c>
      <c r="AJ79" s="47">
        <v>45553</v>
      </c>
      <c r="AK79" s="158">
        <v>21197.27</v>
      </c>
      <c r="AL79" s="44"/>
      <c r="AM79" s="48" t="s">
        <v>44</v>
      </c>
    </row>
    <row r="80" spans="1:39" ht="15.75" customHeight="1" x14ac:dyDescent="0.25">
      <c r="A80" s="59" t="s">
        <v>727</v>
      </c>
      <c r="B80" s="296"/>
      <c r="C80" s="43"/>
      <c r="D80" s="43"/>
      <c r="E80" s="295"/>
      <c r="F80" s="295"/>
      <c r="G80" s="286"/>
      <c r="H80" s="271"/>
      <c r="I80" s="271"/>
      <c r="J80" s="271"/>
      <c r="K80" s="271"/>
      <c r="L80" s="271"/>
      <c r="M80" s="271"/>
      <c r="N80" s="271"/>
      <c r="O80" s="271"/>
      <c r="P80" s="271"/>
      <c r="Q80" s="271"/>
      <c r="R80" s="271"/>
      <c r="S80" s="44"/>
      <c r="T80" s="44"/>
      <c r="U80" s="44"/>
      <c r="V80" s="44"/>
      <c r="W80" s="44"/>
      <c r="X80" s="44"/>
      <c r="Y80" s="44"/>
      <c r="Z80" s="44"/>
      <c r="AA80" s="121"/>
      <c r="AB80" s="47"/>
      <c r="AC80" s="185"/>
      <c r="AD80" s="37"/>
      <c r="AE80" s="41"/>
      <c r="AF80" s="38"/>
      <c r="AG80" s="155"/>
      <c r="AH80" t="s">
        <v>788</v>
      </c>
      <c r="AI80" s="14">
        <v>33073008</v>
      </c>
      <c r="AJ80" s="47">
        <v>45723</v>
      </c>
      <c r="AK80" s="158">
        <v>4606.2</v>
      </c>
      <c r="AL80" s="44"/>
      <c r="AM80" s="48" t="s">
        <v>44</v>
      </c>
    </row>
    <row r="81" spans="1:39" ht="15.75" customHeight="1" x14ac:dyDescent="0.25">
      <c r="A81" s="59" t="s">
        <v>727</v>
      </c>
      <c r="B81" s="296"/>
      <c r="C81" s="43"/>
      <c r="D81" s="43"/>
      <c r="E81" s="295"/>
      <c r="F81" s="295"/>
      <c r="G81" s="286"/>
      <c r="H81" s="271"/>
      <c r="I81" s="271"/>
      <c r="J81" s="271"/>
      <c r="K81" s="271"/>
      <c r="L81" s="271"/>
      <c r="M81" s="271"/>
      <c r="N81" s="271"/>
      <c r="O81" s="271"/>
      <c r="P81" s="271"/>
      <c r="Q81" s="271"/>
      <c r="R81" s="271"/>
      <c r="S81" s="44"/>
      <c r="T81" s="44"/>
      <c r="U81" s="44"/>
      <c r="V81" s="44"/>
      <c r="W81" s="44"/>
      <c r="X81" s="44"/>
      <c r="Y81" s="44"/>
      <c r="Z81" s="44"/>
      <c r="AA81" s="121"/>
      <c r="AB81" s="47"/>
      <c r="AC81" s="185"/>
      <c r="AD81" s="37"/>
      <c r="AE81" s="41"/>
      <c r="AF81" s="38"/>
      <c r="AG81" s="155"/>
      <c r="AH81" t="s">
        <v>789</v>
      </c>
      <c r="AI81" s="14">
        <v>33258473</v>
      </c>
      <c r="AJ81" s="47">
        <v>45723</v>
      </c>
      <c r="AK81" s="158">
        <v>12620.77</v>
      </c>
      <c r="AL81" s="44"/>
      <c r="AM81" s="48" t="s">
        <v>44</v>
      </c>
    </row>
    <row r="82" spans="1:39" ht="15.75" customHeight="1" x14ac:dyDescent="0.25">
      <c r="A82" s="59" t="s">
        <v>727</v>
      </c>
      <c r="B82" s="296"/>
      <c r="C82" s="43"/>
      <c r="D82" s="43"/>
      <c r="E82" s="295"/>
      <c r="F82" s="295"/>
      <c r="G82" s="286"/>
      <c r="H82" s="271"/>
      <c r="I82" s="271"/>
      <c r="J82" s="271"/>
      <c r="K82" s="271"/>
      <c r="L82" s="271"/>
      <c r="M82" s="271"/>
      <c r="N82" s="271"/>
      <c r="O82" s="271"/>
      <c r="P82" s="271"/>
      <c r="Q82" s="271"/>
      <c r="R82" s="271"/>
      <c r="S82" s="44"/>
      <c r="T82" s="44"/>
      <c r="U82" s="44"/>
      <c r="V82" s="44"/>
      <c r="W82" s="44"/>
      <c r="X82" s="44"/>
      <c r="Y82" s="44"/>
      <c r="Z82" s="44"/>
      <c r="AA82" s="121"/>
      <c r="AB82" s="47"/>
      <c r="AC82" s="185"/>
      <c r="AD82" s="37"/>
      <c r="AE82" s="41"/>
      <c r="AF82" s="38"/>
      <c r="AG82" s="155"/>
      <c r="AH82" t="s">
        <v>764</v>
      </c>
      <c r="AI82" s="14">
        <v>33073907</v>
      </c>
      <c r="AJ82" s="47">
        <v>45723</v>
      </c>
      <c r="AK82" s="158">
        <v>2232.19</v>
      </c>
      <c r="AL82" s="44"/>
      <c r="AM82" s="48" t="s">
        <v>44</v>
      </c>
    </row>
    <row r="83" spans="1:39" ht="15.75" customHeight="1" x14ac:dyDescent="0.25">
      <c r="A83" s="59" t="s">
        <v>727</v>
      </c>
      <c r="B83" s="296"/>
      <c r="C83" s="43"/>
      <c r="D83" s="43"/>
      <c r="E83" s="295"/>
      <c r="F83" s="295"/>
      <c r="G83" s="286"/>
      <c r="H83" s="271"/>
      <c r="I83" s="271"/>
      <c r="J83" s="271"/>
      <c r="K83" s="271"/>
      <c r="L83" s="271"/>
      <c r="M83" s="271"/>
      <c r="N83" s="271"/>
      <c r="O83" s="271"/>
      <c r="P83" s="271"/>
      <c r="Q83" s="271"/>
      <c r="R83" s="271"/>
      <c r="S83" s="44"/>
      <c r="T83" s="44"/>
      <c r="U83" s="44"/>
      <c r="V83" s="44"/>
      <c r="W83" s="44"/>
      <c r="X83" s="44"/>
      <c r="Y83" s="44"/>
      <c r="Z83" s="44"/>
      <c r="AA83" s="121"/>
      <c r="AB83" s="47"/>
      <c r="AC83" s="185"/>
      <c r="AD83" s="37"/>
      <c r="AE83" s="41"/>
      <c r="AF83" s="38"/>
      <c r="AG83" s="155"/>
      <c r="AH83" t="s">
        <v>762</v>
      </c>
      <c r="AI83" s="14">
        <v>33092882</v>
      </c>
      <c r="AJ83" s="47">
        <v>45723</v>
      </c>
      <c r="AK83" s="158">
        <v>4392.47</v>
      </c>
      <c r="AL83" s="44"/>
      <c r="AM83" s="48" t="s">
        <v>44</v>
      </c>
    </row>
    <row r="84" spans="1:39" ht="15.75" customHeight="1" x14ac:dyDescent="0.25">
      <c r="A84" s="59" t="s">
        <v>727</v>
      </c>
      <c r="B84" s="296"/>
      <c r="C84" s="43"/>
      <c r="D84" s="43"/>
      <c r="E84" s="295"/>
      <c r="F84" s="295"/>
      <c r="G84" s="286"/>
      <c r="H84" s="271"/>
      <c r="I84" s="271"/>
      <c r="J84" s="271"/>
      <c r="K84" s="271"/>
      <c r="L84" s="271"/>
      <c r="M84" s="271"/>
      <c r="N84" s="271"/>
      <c r="O84" s="271"/>
      <c r="P84" s="271"/>
      <c r="Q84" s="271"/>
      <c r="R84" s="271"/>
      <c r="S84" s="44"/>
      <c r="T84" s="44"/>
      <c r="U84" s="44"/>
      <c r="V84" s="44"/>
      <c r="W84" s="44"/>
      <c r="X84" s="44"/>
      <c r="Y84" s="44"/>
      <c r="Z84" s="44">
        <v>309</v>
      </c>
      <c r="AA84" s="121">
        <v>33440224</v>
      </c>
      <c r="AB84" s="47">
        <v>45762</v>
      </c>
      <c r="AC84" s="185">
        <v>69407</v>
      </c>
      <c r="AD84" s="37"/>
      <c r="AE84" s="41"/>
      <c r="AF84" s="38"/>
      <c r="AG84" s="155"/>
      <c r="AH84" t="s">
        <v>790</v>
      </c>
      <c r="AI84" s="14">
        <v>33901890</v>
      </c>
      <c r="AJ84" s="47">
        <v>45798</v>
      </c>
      <c r="AK84" s="158">
        <v>68574.12</v>
      </c>
      <c r="AL84" s="44"/>
      <c r="AM84" s="48" t="s">
        <v>44</v>
      </c>
    </row>
    <row r="85" spans="1:39" ht="15.75" customHeight="1" x14ac:dyDescent="0.25">
      <c r="A85" s="59" t="s">
        <v>727</v>
      </c>
      <c r="B85" s="284"/>
      <c r="C85" s="43"/>
      <c r="D85" s="43"/>
      <c r="E85" s="291"/>
      <c r="F85" s="291"/>
      <c r="G85" s="287"/>
      <c r="H85" s="279"/>
      <c r="I85" s="279"/>
      <c r="J85" s="279"/>
      <c r="K85" s="279"/>
      <c r="L85" s="279"/>
      <c r="M85" s="279"/>
      <c r="N85" s="279"/>
      <c r="O85" s="279"/>
      <c r="P85" s="279"/>
      <c r="Q85" s="279"/>
      <c r="R85" s="279"/>
      <c r="S85" s="44"/>
      <c r="T85" s="44"/>
      <c r="U85" s="44"/>
      <c r="V85" s="44"/>
      <c r="W85" s="44"/>
      <c r="X85" s="44"/>
      <c r="Y85" s="44"/>
      <c r="Z85" s="44">
        <v>317</v>
      </c>
      <c r="AA85" s="121">
        <v>34472716</v>
      </c>
      <c r="AB85" s="47">
        <v>45824</v>
      </c>
      <c r="AC85" s="185">
        <v>56983.47</v>
      </c>
      <c r="AD85" s="37"/>
      <c r="AE85" s="41"/>
      <c r="AF85" s="38"/>
      <c r="AG85" s="155"/>
      <c r="AH85" t="s">
        <v>791</v>
      </c>
      <c r="AI85" s="14">
        <v>34948254</v>
      </c>
      <c r="AJ85" s="47">
        <v>45840</v>
      </c>
      <c r="AK85" s="158">
        <v>50600.413</v>
      </c>
      <c r="AL85" s="44"/>
      <c r="AM85" s="48" t="s">
        <v>44</v>
      </c>
    </row>
    <row r="86" spans="1:39" ht="15.75" customHeight="1" x14ac:dyDescent="0.25">
      <c r="A86" s="59" t="s">
        <v>724</v>
      </c>
      <c r="B86" s="282" t="s">
        <v>105</v>
      </c>
      <c r="C86" s="33"/>
      <c r="D86" s="33"/>
      <c r="E86" s="289" t="s">
        <v>34</v>
      </c>
      <c r="F86" s="289" t="s">
        <v>35</v>
      </c>
      <c r="G86" s="285">
        <v>43</v>
      </c>
      <c r="H86" s="280">
        <v>44927</v>
      </c>
      <c r="I86" s="278">
        <v>23418462</v>
      </c>
      <c r="J86" s="272">
        <v>1087069.22</v>
      </c>
      <c r="K86" s="272">
        <v>1087069.22</v>
      </c>
      <c r="L86" s="280">
        <v>45235</v>
      </c>
      <c r="M86" s="278">
        <v>270</v>
      </c>
      <c r="N86" s="280">
        <f>L86+M86</f>
        <v>45505</v>
      </c>
      <c r="O86" s="278" t="s">
        <v>36</v>
      </c>
      <c r="P86" s="278">
        <v>23429207</v>
      </c>
      <c r="Q86" s="278" t="s">
        <v>36</v>
      </c>
      <c r="R86" s="278">
        <v>23429207</v>
      </c>
      <c r="S86" s="49"/>
      <c r="T86" s="49"/>
      <c r="U86" s="49"/>
      <c r="V86" s="49"/>
      <c r="W86" s="49"/>
      <c r="X86" s="49"/>
      <c r="Y86" s="49"/>
      <c r="Z86" s="35">
        <v>235</v>
      </c>
      <c r="AA86" s="122">
        <v>25223647</v>
      </c>
      <c r="AB86" s="50">
        <v>45349</v>
      </c>
      <c r="AC86" s="156">
        <v>47136.31</v>
      </c>
      <c r="AD86" s="35" t="s">
        <v>106</v>
      </c>
      <c r="AE86" s="52">
        <v>23493984</v>
      </c>
      <c r="AF86" s="50">
        <v>45254</v>
      </c>
      <c r="AG86" s="152">
        <v>1087069.22</v>
      </c>
      <c r="AH86" s="11" t="s">
        <v>107</v>
      </c>
      <c r="AI86" s="11">
        <v>25904537</v>
      </c>
      <c r="AJ86" s="50">
        <v>45377</v>
      </c>
      <c r="AK86" s="156">
        <v>46570.67</v>
      </c>
      <c r="AL86" s="49"/>
      <c r="AM86" s="36" t="s">
        <v>44</v>
      </c>
    </row>
    <row r="87" spans="1:39" ht="15.75" customHeight="1" x14ac:dyDescent="0.25">
      <c r="A87" s="59" t="s">
        <v>724</v>
      </c>
      <c r="B87" s="283"/>
      <c r="C87" s="7"/>
      <c r="D87" s="7"/>
      <c r="E87" s="294"/>
      <c r="F87" s="294"/>
      <c r="G87" s="286"/>
      <c r="H87" s="271"/>
      <c r="I87" s="271"/>
      <c r="J87" s="271"/>
      <c r="K87" s="271"/>
      <c r="L87" s="271"/>
      <c r="M87" s="271"/>
      <c r="N87" s="271"/>
      <c r="O87" s="271"/>
      <c r="P87" s="271"/>
      <c r="Q87" s="271"/>
      <c r="R87" s="271"/>
      <c r="Z87" s="37">
        <v>242</v>
      </c>
      <c r="AA87" s="64">
        <v>25834331</v>
      </c>
      <c r="AB87" s="38">
        <v>45387</v>
      </c>
      <c r="AC87" s="157">
        <v>46620.66</v>
      </c>
      <c r="AD87" s="37" t="s">
        <v>108</v>
      </c>
      <c r="AE87" s="41">
        <v>28148948</v>
      </c>
      <c r="AF87" s="38">
        <v>45505</v>
      </c>
      <c r="AG87" s="155">
        <v>942541.44</v>
      </c>
      <c r="AH87" s="26" t="s">
        <v>109</v>
      </c>
      <c r="AI87" s="26">
        <v>26446730</v>
      </c>
      <c r="AJ87" s="38">
        <v>45387</v>
      </c>
      <c r="AK87" s="157">
        <v>46061.21</v>
      </c>
      <c r="AM87" s="40" t="s">
        <v>44</v>
      </c>
    </row>
    <row r="88" spans="1:39" ht="15.75" customHeight="1" x14ac:dyDescent="0.25">
      <c r="A88" s="59" t="s">
        <v>724</v>
      </c>
      <c r="B88" s="296"/>
      <c r="C88" s="43"/>
      <c r="D88" s="43"/>
      <c r="E88" s="295"/>
      <c r="F88" s="295"/>
      <c r="G88" s="286"/>
      <c r="H88" s="271"/>
      <c r="I88" s="271"/>
      <c r="J88" s="271"/>
      <c r="K88" s="271"/>
      <c r="L88" s="271"/>
      <c r="M88" s="271"/>
      <c r="N88" s="271"/>
      <c r="O88" s="271"/>
      <c r="P88" s="271"/>
      <c r="Q88" s="271"/>
      <c r="R88" s="271"/>
      <c r="S88" s="44"/>
      <c r="T88" s="44"/>
      <c r="U88" s="44"/>
      <c r="V88" s="44"/>
      <c r="W88" s="44"/>
      <c r="X88" s="44"/>
      <c r="Y88" s="44"/>
      <c r="Z88" s="55">
        <v>247</v>
      </c>
      <c r="AA88" s="121">
        <v>26695058</v>
      </c>
      <c r="AB88" s="47">
        <v>45429</v>
      </c>
      <c r="AC88" s="158">
        <v>50770.81</v>
      </c>
      <c r="AD88" s="35" t="s">
        <v>106</v>
      </c>
      <c r="AE88" s="52">
        <v>23493984</v>
      </c>
      <c r="AF88" s="50">
        <v>45254</v>
      </c>
      <c r="AG88" s="152">
        <v>1087069.22</v>
      </c>
      <c r="AH88" s="14" t="s">
        <v>110</v>
      </c>
      <c r="AI88" s="14">
        <v>27540852</v>
      </c>
      <c r="AJ88" s="47">
        <v>45442</v>
      </c>
      <c r="AK88" s="158">
        <v>50161.56</v>
      </c>
      <c r="AL88" s="44"/>
      <c r="AM88" s="48" t="s">
        <v>44</v>
      </c>
    </row>
    <row r="89" spans="1:39" ht="15.75" customHeight="1" x14ac:dyDescent="0.25">
      <c r="A89" s="59" t="s">
        <v>724</v>
      </c>
      <c r="B89" s="296"/>
      <c r="C89" s="43"/>
      <c r="D89" s="43"/>
      <c r="E89" s="295"/>
      <c r="F89" s="295"/>
      <c r="G89" s="286"/>
      <c r="H89" s="271"/>
      <c r="I89" s="271"/>
      <c r="J89" s="271"/>
      <c r="K89" s="271"/>
      <c r="L89" s="271"/>
      <c r="M89" s="271"/>
      <c r="N89" s="271"/>
      <c r="O89" s="271"/>
      <c r="P89" s="271"/>
      <c r="Q89" s="271"/>
      <c r="R89" s="271"/>
      <c r="S89" s="44"/>
      <c r="T89" s="44"/>
      <c r="U89" s="44"/>
      <c r="V89" s="44"/>
      <c r="W89" s="44"/>
      <c r="X89" s="44"/>
      <c r="Y89" s="44"/>
      <c r="Z89" s="55">
        <v>260</v>
      </c>
      <c r="AA89" s="121">
        <v>28012048</v>
      </c>
      <c r="AB89" s="47">
        <v>45559</v>
      </c>
      <c r="AC89" s="158">
        <v>36200.31</v>
      </c>
      <c r="AD89" t="s">
        <v>108</v>
      </c>
      <c r="AE89" s="41">
        <v>28148948</v>
      </c>
      <c r="AF89" s="38">
        <v>45505</v>
      </c>
      <c r="AG89" s="155">
        <v>942541.44</v>
      </c>
      <c r="AH89" t="s">
        <v>736</v>
      </c>
      <c r="AI89" s="14">
        <v>28608527</v>
      </c>
      <c r="AJ89" s="47">
        <v>45518</v>
      </c>
      <c r="AK89" s="158">
        <v>35765.910000000003</v>
      </c>
      <c r="AL89" s="44"/>
      <c r="AM89" s="48" t="s">
        <v>44</v>
      </c>
    </row>
    <row r="90" spans="1:39" ht="15.75" customHeight="1" x14ac:dyDescent="0.25">
      <c r="A90" s="59" t="s">
        <v>724</v>
      </c>
      <c r="B90" s="296"/>
      <c r="C90" s="43"/>
      <c r="D90" s="43"/>
      <c r="E90" s="295"/>
      <c r="F90" s="295"/>
      <c r="G90" s="286"/>
      <c r="H90" s="271"/>
      <c r="I90" s="271"/>
      <c r="J90" s="271"/>
      <c r="K90" s="271"/>
      <c r="L90" s="271"/>
      <c r="M90" s="271"/>
      <c r="N90" s="271"/>
      <c r="O90" s="271"/>
      <c r="P90" s="271"/>
      <c r="Q90" s="271"/>
      <c r="R90" s="271"/>
      <c r="S90" s="44"/>
      <c r="T90" s="44"/>
      <c r="U90" s="44"/>
      <c r="V90" s="44"/>
      <c r="W90" s="44"/>
      <c r="X90" s="44"/>
      <c r="Y90" s="44"/>
      <c r="Z90" s="55">
        <v>265</v>
      </c>
      <c r="AA90" s="121">
        <v>28898698</v>
      </c>
      <c r="AB90" s="47">
        <v>45537</v>
      </c>
      <c r="AC90" s="158">
        <v>62055.49</v>
      </c>
      <c r="AD90" t="s">
        <v>108</v>
      </c>
      <c r="AE90" s="41">
        <v>28148948</v>
      </c>
      <c r="AF90" s="38">
        <v>45505</v>
      </c>
      <c r="AG90" s="155">
        <v>942541.44</v>
      </c>
      <c r="AH90" t="s">
        <v>737</v>
      </c>
      <c r="AI90" s="14">
        <v>29245691</v>
      </c>
      <c r="AJ90" s="131">
        <v>45552</v>
      </c>
      <c r="AK90" s="158">
        <v>61310.82</v>
      </c>
      <c r="AL90" s="44"/>
      <c r="AM90" s="48" t="s">
        <v>44</v>
      </c>
    </row>
    <row r="91" spans="1:39" ht="15.75" customHeight="1" x14ac:dyDescent="0.25">
      <c r="A91" s="59" t="s">
        <v>724</v>
      </c>
      <c r="B91" s="296"/>
      <c r="C91" s="43"/>
      <c r="D91" s="43"/>
      <c r="E91" s="295"/>
      <c r="F91" s="295"/>
      <c r="G91" s="286"/>
      <c r="H91" s="271"/>
      <c r="I91" s="271"/>
      <c r="J91" s="271"/>
      <c r="K91" s="271"/>
      <c r="L91" s="271"/>
      <c r="M91" s="271"/>
      <c r="N91" s="271"/>
      <c r="O91" s="271"/>
      <c r="P91" s="271"/>
      <c r="Q91" s="271"/>
      <c r="R91" s="271"/>
      <c r="S91" s="44"/>
      <c r="T91" s="44"/>
      <c r="U91" s="44"/>
      <c r="V91" s="44"/>
      <c r="W91" s="44"/>
      <c r="X91" s="44"/>
      <c r="Y91" s="44"/>
      <c r="Z91" s="55">
        <v>278</v>
      </c>
      <c r="AA91" s="121">
        <v>30215680</v>
      </c>
      <c r="AB91" s="47">
        <v>45601</v>
      </c>
      <c r="AC91" s="158">
        <v>69247.360000000001</v>
      </c>
      <c r="AD91" t="s">
        <v>108</v>
      </c>
      <c r="AE91" s="41">
        <v>28148948</v>
      </c>
      <c r="AF91" s="38">
        <v>45505</v>
      </c>
      <c r="AG91" s="155">
        <v>942541.44</v>
      </c>
      <c r="AH91" t="s">
        <v>738</v>
      </c>
      <c r="AI91" s="14">
        <v>29245691</v>
      </c>
      <c r="AJ91" s="131">
        <v>45631</v>
      </c>
      <c r="AK91" s="158">
        <v>68416.39</v>
      </c>
      <c r="AL91" s="44"/>
      <c r="AM91" s="48" t="s">
        <v>44</v>
      </c>
    </row>
    <row r="92" spans="1:39" ht="15.75" customHeight="1" x14ac:dyDescent="0.25">
      <c r="A92" s="59" t="s">
        <v>724</v>
      </c>
      <c r="B92" s="296"/>
      <c r="C92" s="43"/>
      <c r="D92" s="43"/>
      <c r="E92" s="295"/>
      <c r="F92" s="295"/>
      <c r="G92" s="286"/>
      <c r="H92" s="271"/>
      <c r="I92" s="271"/>
      <c r="J92" s="271"/>
      <c r="K92" s="271"/>
      <c r="L92" s="271"/>
      <c r="M92" s="271"/>
      <c r="N92" s="271"/>
      <c r="O92" s="271"/>
      <c r="P92" s="271"/>
      <c r="Q92" s="271"/>
      <c r="R92" s="271"/>
      <c r="S92" s="44"/>
      <c r="T92" s="44"/>
      <c r="U92" s="44"/>
      <c r="V92" s="44"/>
      <c r="W92" s="44"/>
      <c r="X92" s="44"/>
      <c r="Y92" s="44"/>
      <c r="Z92" s="55">
        <v>290</v>
      </c>
      <c r="AA92" s="121">
        <v>31042281</v>
      </c>
      <c r="AB92" s="47">
        <v>45644</v>
      </c>
      <c r="AC92" s="158">
        <v>41582.730000000003</v>
      </c>
      <c r="AD92" t="s">
        <v>108</v>
      </c>
      <c r="AE92" s="41">
        <v>28148948</v>
      </c>
      <c r="AF92" s="38">
        <v>45505</v>
      </c>
      <c r="AG92" s="155">
        <v>942541.44</v>
      </c>
      <c r="AH92" t="s">
        <v>739</v>
      </c>
      <c r="AI92" s="14">
        <v>31196353</v>
      </c>
      <c r="AJ92" s="131">
        <v>45649</v>
      </c>
      <c r="AK92" s="158">
        <v>41083.74</v>
      </c>
      <c r="AL92" s="44"/>
      <c r="AM92" s="48" t="s">
        <v>44</v>
      </c>
    </row>
    <row r="93" spans="1:39" ht="15.75" customHeight="1" x14ac:dyDescent="0.25">
      <c r="A93" s="59" t="s">
        <v>724</v>
      </c>
      <c r="B93" s="296"/>
      <c r="C93" s="43"/>
      <c r="D93" s="43"/>
      <c r="E93" s="295"/>
      <c r="F93" s="295"/>
      <c r="G93" s="286"/>
      <c r="H93" s="271"/>
      <c r="I93" s="271"/>
      <c r="J93" s="271"/>
      <c r="K93" s="271"/>
      <c r="L93" s="271"/>
      <c r="M93" s="271"/>
      <c r="N93" s="271"/>
      <c r="O93" s="271"/>
      <c r="P93" s="271"/>
      <c r="Q93" s="271"/>
      <c r="R93" s="271"/>
      <c r="S93" s="44"/>
      <c r="T93" s="44"/>
      <c r="U93" s="44"/>
      <c r="V93" s="44"/>
      <c r="W93" s="44"/>
      <c r="X93" s="44"/>
      <c r="Y93" s="44"/>
      <c r="Z93" s="55">
        <v>305</v>
      </c>
      <c r="AA93" s="121">
        <v>32336762</v>
      </c>
      <c r="AB93" s="47">
        <v>45716</v>
      </c>
      <c r="AC93" s="158">
        <v>46297.07</v>
      </c>
      <c r="AD93" t="s">
        <v>108</v>
      </c>
      <c r="AE93" s="41">
        <v>28148948</v>
      </c>
      <c r="AF93" s="38">
        <v>45505</v>
      </c>
      <c r="AG93" s="155">
        <v>942541.44</v>
      </c>
      <c r="AH93" t="s">
        <v>763</v>
      </c>
      <c r="AI93" s="14">
        <v>32929801</v>
      </c>
      <c r="AJ93" s="131">
        <v>45735</v>
      </c>
      <c r="AK93" s="158">
        <v>45741.51</v>
      </c>
      <c r="AL93" s="44"/>
      <c r="AM93" s="48" t="s">
        <v>44</v>
      </c>
    </row>
    <row r="94" spans="1:39" ht="15.75" customHeight="1" x14ac:dyDescent="0.25">
      <c r="A94" s="59" t="s">
        <v>724</v>
      </c>
      <c r="B94" s="296"/>
      <c r="C94" s="43"/>
      <c r="D94" s="43"/>
      <c r="E94" s="295"/>
      <c r="F94" s="295"/>
      <c r="G94" s="286"/>
      <c r="H94" s="271"/>
      <c r="I94" s="271"/>
      <c r="J94" s="271"/>
      <c r="K94" s="271"/>
      <c r="L94" s="271"/>
      <c r="M94" s="271"/>
      <c r="N94" s="271"/>
      <c r="O94" s="271"/>
      <c r="P94" s="271"/>
      <c r="Q94" s="271"/>
      <c r="R94" s="271"/>
      <c r="S94" s="44"/>
      <c r="T94" s="44"/>
      <c r="U94" s="44"/>
      <c r="V94" s="44"/>
      <c r="W94" s="44"/>
      <c r="X94" s="44"/>
      <c r="Y94" s="44"/>
      <c r="Z94" s="55"/>
      <c r="AA94" s="121"/>
      <c r="AB94" s="47"/>
      <c r="AC94" s="158"/>
      <c r="AE94" s="41"/>
      <c r="AF94" s="38"/>
      <c r="AG94" s="155"/>
      <c r="AH94" t="s">
        <v>764</v>
      </c>
      <c r="AI94" s="14">
        <v>33074170</v>
      </c>
      <c r="AJ94" s="131">
        <v>45723</v>
      </c>
      <c r="AK94" s="158">
        <v>2232.19</v>
      </c>
      <c r="AL94" s="44"/>
      <c r="AM94" s="48" t="s">
        <v>44</v>
      </c>
    </row>
    <row r="95" spans="1:39" ht="15.75" customHeight="1" x14ac:dyDescent="0.25">
      <c r="A95" s="59" t="s">
        <v>724</v>
      </c>
      <c r="B95" s="296"/>
      <c r="C95" s="43"/>
      <c r="D95" s="43"/>
      <c r="E95" s="295"/>
      <c r="F95" s="295"/>
      <c r="G95" s="286"/>
      <c r="H95" s="271"/>
      <c r="I95" s="271"/>
      <c r="J95" s="271"/>
      <c r="K95" s="271"/>
      <c r="L95" s="271"/>
      <c r="M95" s="271"/>
      <c r="N95" s="271"/>
      <c r="O95" s="271"/>
      <c r="P95" s="271"/>
      <c r="Q95" s="271"/>
      <c r="R95" s="271"/>
      <c r="S95" s="44"/>
      <c r="T95" s="44"/>
      <c r="U95" s="44"/>
      <c r="V95" s="44"/>
      <c r="W95" s="44"/>
      <c r="X95" s="44"/>
      <c r="Y95" s="44"/>
      <c r="Z95" s="55"/>
      <c r="AA95" s="121"/>
      <c r="AB95" s="47"/>
      <c r="AC95" s="158"/>
      <c r="AE95" s="41"/>
      <c r="AF95" s="38"/>
      <c r="AG95" s="155"/>
      <c r="AH95" t="s">
        <v>762</v>
      </c>
      <c r="AI95" s="14">
        <v>33092779</v>
      </c>
      <c r="AJ95" s="131">
        <v>45723</v>
      </c>
      <c r="AK95" s="158">
        <v>4392.47</v>
      </c>
      <c r="AL95" s="44"/>
      <c r="AM95" s="48" t="s">
        <v>44</v>
      </c>
    </row>
    <row r="96" spans="1:39" ht="15.75" customHeight="1" x14ac:dyDescent="0.25">
      <c r="A96" s="59" t="s">
        <v>724</v>
      </c>
      <c r="B96" s="296"/>
      <c r="C96" s="43"/>
      <c r="D96" s="43"/>
      <c r="E96" s="295"/>
      <c r="F96" s="295"/>
      <c r="G96" s="286"/>
      <c r="H96" s="271"/>
      <c r="I96" s="271"/>
      <c r="J96" s="271"/>
      <c r="K96" s="271"/>
      <c r="L96" s="271"/>
      <c r="M96" s="271"/>
      <c r="N96" s="271"/>
      <c r="O96" s="271"/>
      <c r="P96" s="271"/>
      <c r="Q96" s="271"/>
      <c r="R96" s="271"/>
      <c r="S96" s="44"/>
      <c r="T96" s="44"/>
      <c r="U96" s="44"/>
      <c r="V96" s="44"/>
      <c r="W96" s="44"/>
      <c r="X96" s="44"/>
      <c r="Y96" s="44"/>
      <c r="Z96" s="55">
        <v>312</v>
      </c>
      <c r="AA96" s="121">
        <v>33865525</v>
      </c>
      <c r="AB96" s="47">
        <v>45797</v>
      </c>
      <c r="AC96" s="158">
        <v>47566.5</v>
      </c>
      <c r="AD96" t="s">
        <v>108</v>
      </c>
      <c r="AE96" s="41">
        <v>28148948</v>
      </c>
      <c r="AF96" s="38">
        <v>45505</v>
      </c>
      <c r="AG96" s="155">
        <v>942541.44</v>
      </c>
      <c r="AH96" t="s">
        <v>765</v>
      </c>
      <c r="AI96" s="14">
        <v>34616928</v>
      </c>
      <c r="AJ96" s="131">
        <v>45813</v>
      </c>
      <c r="AK96" s="158">
        <v>46995.8</v>
      </c>
      <c r="AL96" s="44"/>
      <c r="AM96" s="48" t="s">
        <v>44</v>
      </c>
    </row>
    <row r="97" spans="1:39" ht="15.75" customHeight="1" x14ac:dyDescent="0.25">
      <c r="A97" s="59" t="s">
        <v>724</v>
      </c>
      <c r="B97" s="296"/>
      <c r="C97" s="43"/>
      <c r="D97" s="43"/>
      <c r="E97" s="295"/>
      <c r="F97" s="295"/>
      <c r="G97" s="286"/>
      <c r="H97" s="271"/>
      <c r="I97" s="271"/>
      <c r="J97" s="271"/>
      <c r="K97" s="271"/>
      <c r="L97" s="271"/>
      <c r="M97" s="271"/>
      <c r="N97" s="271"/>
      <c r="O97" s="271"/>
      <c r="P97" s="271"/>
      <c r="Q97" s="271"/>
      <c r="R97" s="271"/>
      <c r="S97" s="44"/>
      <c r="T97" s="44"/>
      <c r="U97" s="44"/>
      <c r="V97" s="44"/>
      <c r="W97" s="44"/>
      <c r="X97" s="44"/>
      <c r="Y97" s="44"/>
      <c r="Z97" s="55">
        <v>316</v>
      </c>
      <c r="AA97" s="121">
        <v>34473847</v>
      </c>
      <c r="AB97" s="47">
        <v>45824</v>
      </c>
      <c r="AC97" s="158">
        <v>24558.36</v>
      </c>
      <c r="AD97" t="s">
        <v>108</v>
      </c>
      <c r="AE97" s="41">
        <v>28148948</v>
      </c>
      <c r="AF97" s="38">
        <v>45505</v>
      </c>
      <c r="AG97" s="155">
        <v>942541.44</v>
      </c>
      <c r="AH97" t="s">
        <v>766</v>
      </c>
      <c r="AI97" s="14">
        <v>34948377</v>
      </c>
      <c r="AJ97" s="131">
        <v>45840</v>
      </c>
      <c r="AK97" s="158">
        <v>24263.66</v>
      </c>
      <c r="AL97" s="44"/>
      <c r="AM97" s="48" t="s">
        <v>44</v>
      </c>
    </row>
    <row r="98" spans="1:39" ht="15.75" customHeight="1" x14ac:dyDescent="0.25">
      <c r="A98" s="59" t="s">
        <v>724</v>
      </c>
      <c r="B98" s="296"/>
      <c r="C98" s="43"/>
      <c r="D98" s="43"/>
      <c r="E98" s="295"/>
      <c r="F98" s="295"/>
      <c r="G98" s="286"/>
      <c r="H98" s="271"/>
      <c r="I98" s="271"/>
      <c r="J98" s="271"/>
      <c r="K98" s="271"/>
      <c r="L98" s="271"/>
      <c r="M98" s="271"/>
      <c r="N98" s="271"/>
      <c r="O98" s="271"/>
      <c r="P98" s="271"/>
      <c r="Q98" s="271"/>
      <c r="R98" s="271"/>
      <c r="S98" s="44"/>
      <c r="T98" s="44"/>
      <c r="U98" s="44"/>
      <c r="V98" s="44"/>
      <c r="W98" s="44"/>
      <c r="X98" s="44"/>
      <c r="Y98" s="44"/>
      <c r="Z98" s="55">
        <v>338</v>
      </c>
      <c r="AA98" s="121">
        <v>37011057</v>
      </c>
      <c r="AB98" s="47">
        <v>45940</v>
      </c>
      <c r="AC98" s="158">
        <v>171472.25</v>
      </c>
      <c r="AD98" t="s">
        <v>768</v>
      </c>
      <c r="AE98" s="41">
        <v>34954673</v>
      </c>
      <c r="AF98" s="38">
        <v>45848</v>
      </c>
      <c r="AG98" s="155">
        <v>615033.52</v>
      </c>
      <c r="AH98" t="s">
        <v>767</v>
      </c>
      <c r="AI98" s="14">
        <v>37603172</v>
      </c>
      <c r="AJ98" s="131">
        <v>45957</v>
      </c>
      <c r="AK98" s="158">
        <v>169414.58</v>
      </c>
      <c r="AL98" s="44"/>
      <c r="AM98" s="48" t="s">
        <v>44</v>
      </c>
    </row>
    <row r="99" spans="1:39" ht="15.75" customHeight="1" x14ac:dyDescent="0.25">
      <c r="A99" s="59" t="s">
        <v>724</v>
      </c>
      <c r="B99" s="296"/>
      <c r="C99" s="43"/>
      <c r="D99" s="43"/>
      <c r="E99" s="295"/>
      <c r="F99" s="295"/>
      <c r="G99" s="286"/>
      <c r="H99" s="271"/>
      <c r="I99" s="271"/>
      <c r="J99" s="271"/>
      <c r="K99" s="271"/>
      <c r="L99" s="271"/>
      <c r="M99" s="271"/>
      <c r="N99" s="271"/>
      <c r="O99" s="271"/>
      <c r="P99" s="271"/>
      <c r="Q99" s="271"/>
      <c r="R99" s="271"/>
      <c r="S99" s="44"/>
      <c r="T99" s="44"/>
      <c r="U99" s="44"/>
      <c r="V99" s="44"/>
      <c r="W99" s="44"/>
      <c r="X99" s="44"/>
      <c r="Y99" s="44"/>
      <c r="Z99" s="55">
        <v>341</v>
      </c>
      <c r="AA99" s="121">
        <v>37029670</v>
      </c>
      <c r="AB99" s="47">
        <v>45943</v>
      </c>
      <c r="AC99" s="158">
        <v>14382.07</v>
      </c>
      <c r="AD99" t="s">
        <v>768</v>
      </c>
      <c r="AE99" s="41">
        <v>34954673</v>
      </c>
      <c r="AF99" s="38">
        <v>45848</v>
      </c>
      <c r="AG99" s="155">
        <v>615033.52</v>
      </c>
      <c r="AH99" t="s">
        <v>772</v>
      </c>
      <c r="AI99" s="14">
        <v>37602964</v>
      </c>
      <c r="AJ99" s="131">
        <v>45957</v>
      </c>
      <c r="AK99" s="158">
        <v>14209.49</v>
      </c>
      <c r="AL99" s="44"/>
      <c r="AM99" s="48" t="s">
        <v>44</v>
      </c>
    </row>
    <row r="100" spans="1:39" ht="15.75" customHeight="1" x14ac:dyDescent="0.25">
      <c r="A100" s="59" t="s">
        <v>724</v>
      </c>
      <c r="B100" s="296"/>
      <c r="C100" s="43"/>
      <c r="D100" s="43"/>
      <c r="E100" s="295"/>
      <c r="F100" s="295"/>
      <c r="G100" s="286"/>
      <c r="H100" s="271"/>
      <c r="I100" s="271"/>
      <c r="J100" s="271"/>
      <c r="K100" s="271"/>
      <c r="L100" s="271"/>
      <c r="M100" s="271"/>
      <c r="N100" s="271"/>
      <c r="O100" s="271"/>
      <c r="P100" s="271"/>
      <c r="Q100" s="271"/>
      <c r="R100" s="271"/>
      <c r="S100" s="44"/>
      <c r="T100" s="44"/>
      <c r="U100" s="44"/>
      <c r="V100" s="44"/>
      <c r="W100" s="44"/>
      <c r="X100" s="44"/>
      <c r="Y100" s="44"/>
      <c r="Z100" s="55">
        <v>349</v>
      </c>
      <c r="AA100" s="121">
        <v>37606506</v>
      </c>
      <c r="AB100" s="47">
        <v>45972</v>
      </c>
      <c r="AC100" s="158">
        <v>116895.71</v>
      </c>
      <c r="AD100" t="s">
        <v>768</v>
      </c>
      <c r="AE100" s="41">
        <v>34954673</v>
      </c>
      <c r="AF100" s="38">
        <v>45848</v>
      </c>
      <c r="AG100" s="155">
        <v>615033.52</v>
      </c>
      <c r="AH100" t="s">
        <v>769</v>
      </c>
      <c r="AI100" s="14">
        <v>38254435</v>
      </c>
      <c r="AJ100" s="131">
        <v>45981</v>
      </c>
      <c r="AK100" s="158">
        <v>115492.96</v>
      </c>
      <c r="AL100" s="44"/>
      <c r="AM100" s="48" t="s">
        <v>44</v>
      </c>
    </row>
    <row r="101" spans="1:39" ht="15.75" customHeight="1" x14ac:dyDescent="0.25">
      <c r="A101" s="59" t="s">
        <v>724</v>
      </c>
      <c r="B101" s="296"/>
      <c r="C101" s="43"/>
      <c r="D101" s="43"/>
      <c r="E101" s="295"/>
      <c r="F101" s="295"/>
      <c r="G101" s="286"/>
      <c r="H101" s="271"/>
      <c r="I101" s="271"/>
      <c r="J101" s="271"/>
      <c r="K101" s="271"/>
      <c r="L101" s="271"/>
      <c r="M101" s="271"/>
      <c r="N101" s="271"/>
      <c r="O101" s="271"/>
      <c r="P101" s="271"/>
      <c r="Q101" s="271"/>
      <c r="R101" s="271"/>
      <c r="S101" s="44"/>
      <c r="T101" s="44"/>
      <c r="U101" s="44"/>
      <c r="V101" s="44"/>
      <c r="W101" s="44"/>
      <c r="X101" s="44"/>
      <c r="Y101" s="44"/>
      <c r="Z101" s="55">
        <v>350</v>
      </c>
      <c r="AA101" s="121">
        <v>37606623</v>
      </c>
      <c r="AB101" s="47">
        <v>45972</v>
      </c>
      <c r="AC101" s="158">
        <v>6394.19</v>
      </c>
      <c r="AD101" t="s">
        <v>771</v>
      </c>
      <c r="AE101" s="41">
        <v>35725129</v>
      </c>
      <c r="AF101" s="38">
        <v>45883</v>
      </c>
      <c r="AG101" s="155">
        <v>49576.85</v>
      </c>
      <c r="AH101" t="s">
        <v>770</v>
      </c>
      <c r="AI101" s="14">
        <v>38254447</v>
      </c>
      <c r="AJ101" s="131">
        <v>45989</v>
      </c>
      <c r="AK101" s="158">
        <v>6317.46</v>
      </c>
      <c r="AL101" s="44"/>
      <c r="AM101" s="48" t="s">
        <v>44</v>
      </c>
    </row>
    <row r="102" spans="1:39" ht="15.75" customHeight="1" x14ac:dyDescent="0.25">
      <c r="A102" s="59" t="s">
        <v>724</v>
      </c>
      <c r="B102" s="296"/>
      <c r="C102" s="43"/>
      <c r="D102" s="43"/>
      <c r="E102" s="295"/>
      <c r="F102" s="295"/>
      <c r="G102" s="286"/>
      <c r="H102" s="271"/>
      <c r="I102" s="271"/>
      <c r="J102" s="271"/>
      <c r="K102" s="271"/>
      <c r="L102" s="271"/>
      <c r="M102" s="271"/>
      <c r="N102" s="271"/>
      <c r="O102" s="271"/>
      <c r="P102" s="271"/>
      <c r="Q102" s="271"/>
      <c r="R102" s="271"/>
      <c r="S102" s="44"/>
      <c r="T102" s="44"/>
      <c r="U102" s="44"/>
      <c r="V102" s="44"/>
      <c r="W102" s="44"/>
      <c r="X102" s="44"/>
      <c r="Y102" s="44"/>
      <c r="Z102" s="55">
        <v>358</v>
      </c>
      <c r="AA102" s="121">
        <v>38295447</v>
      </c>
      <c r="AB102" s="47">
        <v>46006</v>
      </c>
      <c r="AC102" s="158">
        <v>102350.51</v>
      </c>
      <c r="AD102" t="s">
        <v>768</v>
      </c>
      <c r="AE102" s="41">
        <v>34954673</v>
      </c>
      <c r="AF102" s="38">
        <v>45848</v>
      </c>
      <c r="AG102" s="155">
        <v>615033.52</v>
      </c>
      <c r="AH102" t="s">
        <v>773</v>
      </c>
      <c r="AI102" s="14">
        <v>38915249</v>
      </c>
      <c r="AJ102" s="131">
        <v>46014</v>
      </c>
      <c r="AK102" s="158">
        <v>101122.3</v>
      </c>
      <c r="AL102" s="44"/>
      <c r="AM102" s="48" t="s">
        <v>44</v>
      </c>
    </row>
    <row r="103" spans="1:39" ht="15.75" customHeight="1" x14ac:dyDescent="0.25">
      <c r="A103" s="59" t="s">
        <v>724</v>
      </c>
      <c r="B103" s="296"/>
      <c r="C103" s="43"/>
      <c r="D103" s="43"/>
      <c r="E103" s="295"/>
      <c r="F103" s="295"/>
      <c r="G103" s="286"/>
      <c r="H103" s="271"/>
      <c r="I103" s="271"/>
      <c r="J103" s="271"/>
      <c r="K103" s="271"/>
      <c r="L103" s="271"/>
      <c r="M103" s="271"/>
      <c r="N103" s="271"/>
      <c r="O103" s="271"/>
      <c r="P103" s="271"/>
      <c r="Q103" s="271"/>
      <c r="R103" s="271"/>
      <c r="S103" s="44"/>
      <c r="T103" s="44"/>
      <c r="U103" s="44"/>
      <c r="V103" s="44"/>
      <c r="W103" s="44"/>
      <c r="X103" s="44"/>
      <c r="Y103" s="44"/>
      <c r="Z103" s="55">
        <v>359</v>
      </c>
      <c r="AA103" s="121">
        <v>38296595</v>
      </c>
      <c r="AB103" s="47">
        <v>46007</v>
      </c>
      <c r="AC103" s="158">
        <v>5598.57</v>
      </c>
      <c r="AD103" t="s">
        <v>771</v>
      </c>
      <c r="AE103" s="41">
        <v>35725129</v>
      </c>
      <c r="AF103" s="38">
        <v>45883</v>
      </c>
      <c r="AG103" s="155">
        <v>49576.85</v>
      </c>
      <c r="AH103" t="s">
        <v>774</v>
      </c>
      <c r="AI103" s="14">
        <v>38915249</v>
      </c>
      <c r="AJ103" s="131">
        <v>46021</v>
      </c>
      <c r="AK103" s="158">
        <v>5531.39</v>
      </c>
      <c r="AL103" s="44"/>
      <c r="AM103" s="48" t="s">
        <v>44</v>
      </c>
    </row>
    <row r="104" spans="1:39" ht="15.75" customHeight="1" x14ac:dyDescent="0.25">
      <c r="A104" s="59" t="s">
        <v>724</v>
      </c>
      <c r="B104" s="296"/>
      <c r="C104" s="43"/>
      <c r="D104" s="43"/>
      <c r="E104" s="295"/>
      <c r="F104" s="295"/>
      <c r="G104" s="286"/>
      <c r="H104" s="271"/>
      <c r="I104" s="271"/>
      <c r="J104" s="271"/>
      <c r="K104" s="271"/>
      <c r="L104" s="271"/>
      <c r="M104" s="271"/>
      <c r="N104" s="271"/>
      <c r="O104" s="271"/>
      <c r="P104" s="271"/>
      <c r="Q104" s="271"/>
      <c r="R104" s="271"/>
      <c r="S104" s="44"/>
      <c r="T104" s="44"/>
      <c r="U104" s="44"/>
      <c r="V104" s="44"/>
      <c r="W104" s="44"/>
      <c r="X104" s="44"/>
      <c r="Y104" s="44"/>
      <c r="Z104" s="55">
        <v>360</v>
      </c>
      <c r="AA104" s="121">
        <v>38816184</v>
      </c>
      <c r="AB104" s="47">
        <v>46041</v>
      </c>
      <c r="AC104" s="158">
        <v>181218.95</v>
      </c>
      <c r="AD104" t="s">
        <v>776</v>
      </c>
      <c r="AE104" s="41">
        <v>38766732</v>
      </c>
      <c r="AF104" s="38">
        <v>46021</v>
      </c>
      <c r="AG104" s="155">
        <v>265533.90999999997</v>
      </c>
      <c r="AH104" t="s">
        <v>775</v>
      </c>
      <c r="AI104" s="14">
        <v>38915249</v>
      </c>
      <c r="AJ104" s="131">
        <v>46050</v>
      </c>
      <c r="AK104" s="158">
        <v>181020.32</v>
      </c>
      <c r="AL104" s="44"/>
      <c r="AM104" s="48" t="s">
        <v>44</v>
      </c>
    </row>
    <row r="105" spans="1:39" ht="15.75" customHeight="1" x14ac:dyDescent="0.25">
      <c r="A105" s="59" t="s">
        <v>724</v>
      </c>
      <c r="B105" s="296"/>
      <c r="C105" s="43"/>
      <c r="D105" s="43"/>
      <c r="E105" s="295"/>
      <c r="F105" s="295"/>
      <c r="G105" s="286"/>
      <c r="H105" s="271"/>
      <c r="I105" s="271"/>
      <c r="J105" s="271"/>
      <c r="K105" s="271"/>
      <c r="L105" s="271"/>
      <c r="M105" s="271"/>
      <c r="N105" s="271"/>
      <c r="O105" s="271"/>
      <c r="P105" s="271"/>
      <c r="Q105" s="271"/>
      <c r="R105" s="271"/>
      <c r="S105" s="44"/>
      <c r="T105" s="44"/>
      <c r="U105" s="44"/>
      <c r="V105" s="44"/>
      <c r="W105" s="44"/>
      <c r="X105" s="44"/>
      <c r="Y105" s="44"/>
      <c r="Z105" s="55">
        <v>361</v>
      </c>
      <c r="AA105" s="121">
        <v>38816592</v>
      </c>
      <c r="AB105" s="47">
        <v>46041</v>
      </c>
      <c r="AC105" s="158">
        <v>10022.07</v>
      </c>
      <c r="AD105" t="s">
        <v>771</v>
      </c>
      <c r="AE105" s="41">
        <v>35725129</v>
      </c>
      <c r="AF105" s="38">
        <v>45883</v>
      </c>
      <c r="AG105" s="155">
        <v>49576.85</v>
      </c>
      <c r="AH105" t="s">
        <v>775</v>
      </c>
      <c r="AI105" s="121">
        <v>39599457</v>
      </c>
      <c r="AJ105" s="47">
        <v>46050</v>
      </c>
      <c r="AK105" s="158">
        <v>9901.81</v>
      </c>
      <c r="AL105" s="44"/>
      <c r="AM105" s="48" t="s">
        <v>44</v>
      </c>
    </row>
    <row r="106" spans="1:39" ht="15.75" customHeight="1" x14ac:dyDescent="0.25">
      <c r="A106" s="59" t="s">
        <v>724</v>
      </c>
      <c r="B106" s="296"/>
      <c r="C106" s="43"/>
      <c r="D106" s="43"/>
      <c r="E106" s="295"/>
      <c r="F106" s="295"/>
      <c r="G106" s="286"/>
      <c r="H106" s="271"/>
      <c r="I106" s="271"/>
      <c r="J106" s="271"/>
      <c r="K106" s="271"/>
      <c r="L106" s="271"/>
      <c r="M106" s="271"/>
      <c r="N106" s="271"/>
      <c r="O106" s="271"/>
      <c r="P106" s="271"/>
      <c r="Q106" s="271"/>
      <c r="R106" s="271"/>
      <c r="S106" s="44"/>
      <c r="T106" s="44"/>
      <c r="U106" s="44"/>
      <c r="V106" s="44"/>
      <c r="W106" s="44"/>
      <c r="X106" s="44"/>
      <c r="Y106" s="44"/>
      <c r="Z106" s="55">
        <v>369</v>
      </c>
      <c r="AA106" s="121">
        <v>39744213</v>
      </c>
      <c r="AB106" s="47">
        <v>46084</v>
      </c>
      <c r="AC106" s="158">
        <v>77938.48</v>
      </c>
      <c r="AD106" t="s">
        <v>771</v>
      </c>
      <c r="AE106" s="41">
        <v>35725129</v>
      </c>
      <c r="AF106" s="38">
        <v>45883</v>
      </c>
      <c r="AG106" s="155">
        <v>49576.85</v>
      </c>
      <c r="AH106" t="s">
        <v>777</v>
      </c>
      <c r="AI106" s="121">
        <v>40150215</v>
      </c>
      <c r="AJ106" s="47">
        <v>46094</v>
      </c>
      <c r="AK106" s="158">
        <v>10421.27</v>
      </c>
      <c r="AL106" s="44"/>
      <c r="AM106" s="48" t="s">
        <v>44</v>
      </c>
    </row>
    <row r="107" spans="1:39" ht="15.75" customHeight="1" x14ac:dyDescent="0.25">
      <c r="A107" s="59" t="s">
        <v>724</v>
      </c>
      <c r="B107" s="284"/>
      <c r="C107" s="43"/>
      <c r="D107" s="43"/>
      <c r="E107" s="291"/>
      <c r="F107" s="291"/>
      <c r="G107" s="287"/>
      <c r="H107" s="279"/>
      <c r="I107" s="279"/>
      <c r="J107" s="279"/>
      <c r="K107" s="279"/>
      <c r="L107" s="279"/>
      <c r="M107" s="279"/>
      <c r="N107" s="279"/>
      <c r="O107" s="279"/>
      <c r="P107" s="279"/>
      <c r="Q107" s="279"/>
      <c r="R107" s="279"/>
      <c r="S107" s="44"/>
      <c r="T107" s="44"/>
      <c r="U107" s="44"/>
      <c r="V107" s="44"/>
      <c r="W107" s="44"/>
      <c r="X107" s="44"/>
      <c r="Y107" s="44"/>
      <c r="Z107" s="55">
        <v>369</v>
      </c>
      <c r="AA107" s="121">
        <v>39744213</v>
      </c>
      <c r="AB107" s="47">
        <v>46084</v>
      </c>
      <c r="AC107" s="158">
        <v>77938.48</v>
      </c>
      <c r="AD107" t="s">
        <v>776</v>
      </c>
      <c r="AE107" s="41">
        <v>38766732</v>
      </c>
      <c r="AF107" s="38">
        <v>46021</v>
      </c>
      <c r="AG107" s="155">
        <v>265533.90999999997</v>
      </c>
      <c r="AH107" t="s">
        <v>778</v>
      </c>
      <c r="AI107" s="121">
        <v>40150287</v>
      </c>
      <c r="AJ107" s="47">
        <v>46093</v>
      </c>
      <c r="AK107" s="158">
        <v>66581.95</v>
      </c>
      <c r="AL107" s="44"/>
      <c r="AM107" s="48" t="s">
        <v>44</v>
      </c>
    </row>
    <row r="108" spans="1:39" ht="15.75" customHeight="1" x14ac:dyDescent="0.25">
      <c r="A108" s="59" t="s">
        <v>728</v>
      </c>
      <c r="B108" s="282" t="s">
        <v>111</v>
      </c>
      <c r="C108" s="33"/>
      <c r="D108" s="33"/>
      <c r="E108" s="289" t="s">
        <v>34</v>
      </c>
      <c r="F108" s="289" t="s">
        <v>35</v>
      </c>
      <c r="G108" s="285">
        <v>8</v>
      </c>
      <c r="H108" s="280">
        <v>44927</v>
      </c>
      <c r="I108" s="278">
        <v>19662798</v>
      </c>
      <c r="J108" s="272">
        <v>1097652.46</v>
      </c>
      <c r="K108" s="272">
        <v>1097652.46</v>
      </c>
      <c r="L108" s="280">
        <v>45030</v>
      </c>
      <c r="M108" s="278">
        <v>180</v>
      </c>
      <c r="N108" s="280">
        <f>L108+M108</f>
        <v>45210</v>
      </c>
      <c r="O108" s="278" t="s">
        <v>36</v>
      </c>
      <c r="P108" s="278">
        <v>19664648</v>
      </c>
      <c r="Q108" s="278" t="s">
        <v>36</v>
      </c>
      <c r="R108" s="278">
        <v>19664648</v>
      </c>
      <c r="S108" s="49"/>
      <c r="T108" s="49"/>
      <c r="U108" s="49"/>
      <c r="V108" s="49"/>
      <c r="W108" s="49"/>
      <c r="X108" s="49"/>
      <c r="Y108" s="49"/>
      <c r="Z108" s="35">
        <v>124</v>
      </c>
      <c r="AA108" s="122">
        <v>20679719</v>
      </c>
      <c r="AB108" s="50">
        <v>45452</v>
      </c>
      <c r="AC108" s="156">
        <v>103841.62</v>
      </c>
      <c r="AD108" s="35" t="s">
        <v>112</v>
      </c>
      <c r="AE108" s="52">
        <v>19675530</v>
      </c>
      <c r="AF108" s="50">
        <v>45030</v>
      </c>
      <c r="AG108" s="152">
        <v>1097652.46</v>
      </c>
      <c r="AH108" s="11" t="s">
        <v>113</v>
      </c>
      <c r="AI108" s="35">
        <v>21609040</v>
      </c>
      <c r="AJ108" s="50">
        <v>45097</v>
      </c>
      <c r="AK108" s="156">
        <v>103841.62</v>
      </c>
      <c r="AL108" s="49"/>
      <c r="AM108" s="36" t="s">
        <v>44</v>
      </c>
    </row>
    <row r="109" spans="1:39" ht="15.75" customHeight="1" x14ac:dyDescent="0.25">
      <c r="A109" s="59" t="s">
        <v>728</v>
      </c>
      <c r="B109" s="283"/>
      <c r="C109" s="7"/>
      <c r="D109" s="7"/>
      <c r="E109" s="294"/>
      <c r="F109" s="294"/>
      <c r="G109" s="286"/>
      <c r="H109" s="271"/>
      <c r="I109" s="271"/>
      <c r="J109" s="271"/>
      <c r="K109" s="271"/>
      <c r="L109" s="271"/>
      <c r="M109" s="271"/>
      <c r="N109" s="271"/>
      <c r="O109" s="271"/>
      <c r="P109" s="271"/>
      <c r="Q109" s="271"/>
      <c r="R109" s="271"/>
      <c r="Z109" s="37">
        <v>129</v>
      </c>
      <c r="AA109" s="62">
        <v>21553266</v>
      </c>
      <c r="AB109" s="27">
        <v>45139</v>
      </c>
      <c r="AC109" s="157">
        <v>128505.54</v>
      </c>
      <c r="AD109" s="37" t="s">
        <v>114</v>
      </c>
      <c r="AE109" s="41">
        <v>25196939</v>
      </c>
      <c r="AF109" s="38">
        <v>45356</v>
      </c>
      <c r="AG109" s="155">
        <v>477238.49</v>
      </c>
      <c r="AH109" s="26" t="s">
        <v>115</v>
      </c>
      <c r="AI109" s="26">
        <v>21832475</v>
      </c>
      <c r="AJ109" s="38">
        <v>45154</v>
      </c>
      <c r="AK109" s="157">
        <v>128505.54</v>
      </c>
      <c r="AM109" s="40" t="s">
        <v>44</v>
      </c>
    </row>
    <row r="110" spans="1:39" ht="15.75" customHeight="1" x14ac:dyDescent="0.25">
      <c r="A110" s="59" t="s">
        <v>728</v>
      </c>
      <c r="B110" s="283"/>
      <c r="C110" s="7"/>
      <c r="D110" s="7"/>
      <c r="E110" s="294"/>
      <c r="F110" s="294"/>
      <c r="G110" s="286"/>
      <c r="H110" s="271"/>
      <c r="I110" s="271"/>
      <c r="J110" s="271"/>
      <c r="K110" s="271"/>
      <c r="L110" s="271"/>
      <c r="M110" s="271"/>
      <c r="N110" s="271"/>
      <c r="O110" s="271"/>
      <c r="P110" s="271"/>
      <c r="Q110" s="271"/>
      <c r="R110" s="271"/>
      <c r="Z110" s="37">
        <v>135</v>
      </c>
      <c r="AA110" s="62">
        <v>22286753</v>
      </c>
      <c r="AB110" s="27">
        <v>45182</v>
      </c>
      <c r="AC110" s="157">
        <v>206284.92</v>
      </c>
      <c r="AD110" s="37" t="s">
        <v>116</v>
      </c>
      <c r="AE110" s="41">
        <v>25830393</v>
      </c>
      <c r="AF110" s="38">
        <v>45390</v>
      </c>
      <c r="AG110" s="155">
        <v>31338.12</v>
      </c>
      <c r="AH110" s="26" t="s">
        <v>117</v>
      </c>
      <c r="AI110" s="26">
        <v>22716697</v>
      </c>
      <c r="AJ110" s="38">
        <v>45205</v>
      </c>
      <c r="AK110" s="157">
        <v>203809.5</v>
      </c>
      <c r="AM110" s="40" t="s">
        <v>44</v>
      </c>
    </row>
    <row r="111" spans="1:39" ht="15.75" customHeight="1" x14ac:dyDescent="0.25">
      <c r="A111" s="59" t="s">
        <v>728</v>
      </c>
      <c r="B111" s="283"/>
      <c r="C111" s="7"/>
      <c r="D111" s="7"/>
      <c r="E111" s="294"/>
      <c r="F111" s="294"/>
      <c r="G111" s="286"/>
      <c r="H111" s="271"/>
      <c r="I111" s="271"/>
      <c r="J111" s="271"/>
      <c r="K111" s="271"/>
      <c r="L111" s="271"/>
      <c r="M111" s="271"/>
      <c r="N111" s="271"/>
      <c r="O111" s="271"/>
      <c r="P111" s="271"/>
      <c r="Q111" s="271"/>
      <c r="R111" s="271"/>
      <c r="Z111" s="37">
        <v>140</v>
      </c>
      <c r="AA111" s="62">
        <v>23602566</v>
      </c>
      <c r="AB111" s="27">
        <v>45254</v>
      </c>
      <c r="AC111" s="157">
        <v>113795.25</v>
      </c>
      <c r="AD111" s="54" t="s">
        <v>118</v>
      </c>
      <c r="AE111" s="41">
        <v>27797860</v>
      </c>
      <c r="AF111" s="38">
        <v>45488</v>
      </c>
      <c r="AG111" s="155">
        <v>70758.47</v>
      </c>
      <c r="AH111" s="26" t="s">
        <v>119</v>
      </c>
      <c r="AI111" s="26">
        <v>23963373</v>
      </c>
      <c r="AJ111" s="27">
        <v>45275</v>
      </c>
      <c r="AK111" s="157">
        <v>113795.25</v>
      </c>
      <c r="AM111" s="40" t="s">
        <v>44</v>
      </c>
    </row>
    <row r="112" spans="1:39" ht="15.75" customHeight="1" x14ac:dyDescent="0.25">
      <c r="A112" s="59" t="s">
        <v>728</v>
      </c>
      <c r="B112" s="283"/>
      <c r="C112" s="7"/>
      <c r="D112" s="7"/>
      <c r="E112" s="294"/>
      <c r="F112" s="294"/>
      <c r="G112" s="286"/>
      <c r="H112" s="271"/>
      <c r="I112" s="271"/>
      <c r="J112" s="271"/>
      <c r="K112" s="271"/>
      <c r="L112" s="271"/>
      <c r="M112" s="271"/>
      <c r="N112" s="271"/>
      <c r="O112" s="271"/>
      <c r="P112" s="271"/>
      <c r="Q112" s="271"/>
      <c r="R112" s="271"/>
      <c r="Z112" s="37">
        <v>141</v>
      </c>
      <c r="AA112" s="62">
        <v>23807779</v>
      </c>
      <c r="AB112" s="27">
        <v>45271</v>
      </c>
      <c r="AC112" s="157">
        <v>69937.03</v>
      </c>
      <c r="AD112" t="s">
        <v>112</v>
      </c>
      <c r="AE112" s="52">
        <v>19675530</v>
      </c>
      <c r="AF112" s="50">
        <v>45030</v>
      </c>
      <c r="AG112" s="152"/>
      <c r="AH112" s="26" t="s">
        <v>120</v>
      </c>
      <c r="AI112" s="26">
        <v>24126092</v>
      </c>
      <c r="AJ112" s="38">
        <v>45281</v>
      </c>
      <c r="AK112" s="157">
        <v>69937.03</v>
      </c>
      <c r="AM112" s="40" t="s">
        <v>44</v>
      </c>
    </row>
    <row r="113" spans="1:39" ht="15.75" customHeight="1" x14ac:dyDescent="0.25">
      <c r="A113" s="59" t="s">
        <v>728</v>
      </c>
      <c r="B113" s="283"/>
      <c r="C113" s="7"/>
      <c r="D113" s="7"/>
      <c r="E113" s="294"/>
      <c r="F113" s="294"/>
      <c r="G113" s="286"/>
      <c r="H113" s="271"/>
      <c r="I113" s="271"/>
      <c r="J113" s="271"/>
      <c r="K113" s="271"/>
      <c r="L113" s="271"/>
      <c r="M113" s="271"/>
      <c r="N113" s="271"/>
      <c r="O113" s="271"/>
      <c r="P113" s="271"/>
      <c r="Q113" s="271"/>
      <c r="R113" s="271"/>
      <c r="Z113" s="37">
        <v>153</v>
      </c>
      <c r="AA113" s="62">
        <v>24689333</v>
      </c>
      <c r="AB113" s="38">
        <v>45323</v>
      </c>
      <c r="AC113" s="157">
        <v>553741.13</v>
      </c>
      <c r="AD113" t="s">
        <v>112</v>
      </c>
      <c r="AE113" s="52">
        <v>19675530</v>
      </c>
      <c r="AF113" s="50">
        <v>45030</v>
      </c>
      <c r="AG113" s="152"/>
      <c r="AH113" s="26" t="s">
        <v>121</v>
      </c>
      <c r="AI113" s="26">
        <v>25368955</v>
      </c>
      <c r="AJ113" s="38">
        <v>45362</v>
      </c>
      <c r="AK113" s="157">
        <v>553741.13</v>
      </c>
      <c r="AM113" s="40" t="s">
        <v>44</v>
      </c>
    </row>
    <row r="114" spans="1:39" ht="15.75" customHeight="1" x14ac:dyDescent="0.25">
      <c r="A114" s="59" t="s">
        <v>728</v>
      </c>
      <c r="B114" s="283"/>
      <c r="C114" s="7"/>
      <c r="D114" s="7"/>
      <c r="E114" s="294"/>
      <c r="F114" s="294"/>
      <c r="G114" s="286"/>
      <c r="H114" s="271"/>
      <c r="I114" s="271"/>
      <c r="J114" s="271"/>
      <c r="K114" s="271"/>
      <c r="L114" s="271"/>
      <c r="M114" s="271"/>
      <c r="N114" s="271"/>
      <c r="O114" s="271"/>
      <c r="P114" s="271"/>
      <c r="Q114" s="271"/>
      <c r="R114" s="271"/>
      <c r="Z114" s="37">
        <v>160</v>
      </c>
      <c r="AA114" s="62">
        <v>26279486</v>
      </c>
      <c r="AB114" s="38">
        <v>45404</v>
      </c>
      <c r="AC114" s="157">
        <v>121201.25</v>
      </c>
      <c r="AD114" s="137" t="s">
        <v>743</v>
      </c>
      <c r="AE114" s="138">
        <v>25196939</v>
      </c>
      <c r="AF114" s="139">
        <v>45356</v>
      </c>
      <c r="AG114" s="172"/>
      <c r="AH114" s="26" t="s">
        <v>122</v>
      </c>
      <c r="AI114" s="26">
        <v>26759049</v>
      </c>
      <c r="AJ114" s="38">
        <v>45427</v>
      </c>
      <c r="AK114" s="157">
        <v>121201.25</v>
      </c>
      <c r="AM114" s="40" t="s">
        <v>44</v>
      </c>
    </row>
    <row r="115" spans="1:39" ht="15.75" customHeight="1" x14ac:dyDescent="0.25">
      <c r="A115" s="59" t="s">
        <v>728</v>
      </c>
      <c r="B115" s="296"/>
      <c r="C115" s="43"/>
      <c r="D115" s="43"/>
      <c r="E115" s="295"/>
      <c r="F115" s="295"/>
      <c r="G115" s="286"/>
      <c r="H115" s="271"/>
      <c r="I115" s="271"/>
      <c r="J115" s="271"/>
      <c r="K115" s="271"/>
      <c r="L115" s="271"/>
      <c r="M115" s="271"/>
      <c r="N115" s="271"/>
      <c r="O115" s="271"/>
      <c r="P115" s="271"/>
      <c r="Q115" s="271"/>
      <c r="R115" s="271"/>
      <c r="S115" s="140"/>
      <c r="T115" s="140"/>
      <c r="U115" s="140"/>
      <c r="V115" s="140"/>
      <c r="W115" s="140"/>
      <c r="X115" s="140"/>
      <c r="Y115" s="140"/>
      <c r="Z115" s="135">
        <v>164</v>
      </c>
      <c r="AA115" s="136">
        <v>26280219</v>
      </c>
      <c r="AB115" s="134">
        <v>45407</v>
      </c>
      <c r="AC115" s="159">
        <v>22205.599999999999</v>
      </c>
      <c r="AD115" s="137" t="s">
        <v>743</v>
      </c>
      <c r="AE115" s="138">
        <v>25196939</v>
      </c>
      <c r="AF115" s="139">
        <v>45356</v>
      </c>
      <c r="AG115" s="172"/>
      <c r="AH115" s="133" t="s">
        <v>123</v>
      </c>
      <c r="AI115" s="133">
        <v>26953564</v>
      </c>
      <c r="AJ115" s="134">
        <v>45442</v>
      </c>
      <c r="AK115" s="159">
        <v>22205.599999999999</v>
      </c>
      <c r="AL115" s="140"/>
      <c r="AM115" s="40" t="s">
        <v>44</v>
      </c>
    </row>
    <row r="116" spans="1:39" ht="15.75" customHeight="1" x14ac:dyDescent="0.25">
      <c r="A116" s="59" t="s">
        <v>728</v>
      </c>
      <c r="B116" s="296"/>
      <c r="C116" s="43"/>
      <c r="D116" s="43"/>
      <c r="E116" s="295"/>
      <c r="F116" s="295"/>
      <c r="G116" s="286"/>
      <c r="H116" s="271"/>
      <c r="I116" s="271"/>
      <c r="J116" s="271"/>
      <c r="K116" s="271"/>
      <c r="L116" s="271"/>
      <c r="M116" s="271"/>
      <c r="N116" s="271"/>
      <c r="O116" s="271"/>
      <c r="P116" s="271"/>
      <c r="Q116" s="271"/>
      <c r="R116" s="271"/>
      <c r="S116" s="140"/>
      <c r="T116" s="140"/>
      <c r="U116" s="140"/>
      <c r="V116" s="140"/>
      <c r="W116" s="140"/>
      <c r="X116" s="140"/>
      <c r="Y116" s="140"/>
      <c r="Z116" s="135">
        <v>204</v>
      </c>
      <c r="AA116" s="136">
        <v>30215234</v>
      </c>
      <c r="AB116" s="134">
        <v>45602</v>
      </c>
      <c r="AC116" s="160">
        <v>69158.48</v>
      </c>
      <c r="AD116" s="137" t="s">
        <v>743</v>
      </c>
      <c r="AE116" s="138">
        <v>25196939</v>
      </c>
      <c r="AF116" s="139">
        <v>45356</v>
      </c>
      <c r="AG116" s="172"/>
      <c r="AH116" s="142" t="s">
        <v>740</v>
      </c>
      <c r="AI116" s="133">
        <v>30581247</v>
      </c>
      <c r="AJ116" s="143">
        <v>45615</v>
      </c>
      <c r="AK116" s="164">
        <v>69158.48</v>
      </c>
      <c r="AL116" s="140"/>
      <c r="AM116" s="165" t="s">
        <v>44</v>
      </c>
    </row>
    <row r="117" spans="1:39" ht="15.75" customHeight="1" x14ac:dyDescent="0.25">
      <c r="A117" s="59" t="s">
        <v>728</v>
      </c>
      <c r="B117" s="296"/>
      <c r="C117" s="43"/>
      <c r="D117" s="43"/>
      <c r="E117" s="295"/>
      <c r="F117" s="295"/>
      <c r="G117" s="286"/>
      <c r="H117" s="271"/>
      <c r="I117" s="271"/>
      <c r="J117" s="271"/>
      <c r="K117" s="271"/>
      <c r="L117" s="271"/>
      <c r="M117" s="271"/>
      <c r="N117" s="271"/>
      <c r="O117" s="271"/>
      <c r="P117" s="271"/>
      <c r="Q117" s="271"/>
      <c r="R117" s="271"/>
      <c r="S117" s="140"/>
      <c r="T117" s="140"/>
      <c r="U117" s="140"/>
      <c r="V117" s="140"/>
      <c r="W117" s="140"/>
      <c r="X117" s="140"/>
      <c r="Y117" s="140"/>
      <c r="Z117" s="170">
        <v>211</v>
      </c>
      <c r="AA117" s="136">
        <v>30352707</v>
      </c>
      <c r="AB117" s="134">
        <v>45608</v>
      </c>
      <c r="AC117" s="160">
        <v>114325.06</v>
      </c>
      <c r="AD117" s="137" t="s">
        <v>743</v>
      </c>
      <c r="AE117" s="138">
        <v>25196939</v>
      </c>
      <c r="AF117" s="139">
        <v>45356</v>
      </c>
      <c r="AG117" s="172"/>
      <c r="AH117" s="142" t="s">
        <v>741</v>
      </c>
      <c r="AI117" s="133">
        <v>32256764</v>
      </c>
      <c r="AJ117" s="139">
        <v>45630</v>
      </c>
      <c r="AK117" s="160">
        <v>114325.06</v>
      </c>
      <c r="AL117" s="140"/>
      <c r="AM117" s="165" t="s">
        <v>44</v>
      </c>
    </row>
    <row r="118" spans="1:39" ht="15.75" customHeight="1" x14ac:dyDescent="0.25">
      <c r="A118" s="59" t="s">
        <v>728</v>
      </c>
      <c r="B118" s="296"/>
      <c r="C118" s="43"/>
      <c r="D118" s="43"/>
      <c r="E118" s="295"/>
      <c r="F118" s="295"/>
      <c r="G118" s="286"/>
      <c r="H118" s="271"/>
      <c r="I118" s="271"/>
      <c r="J118" s="271"/>
      <c r="K118" s="271"/>
      <c r="L118" s="271"/>
      <c r="M118" s="271"/>
      <c r="N118" s="271"/>
      <c r="O118" s="271"/>
      <c r="P118" s="271"/>
      <c r="Q118" s="271"/>
      <c r="R118" s="271"/>
      <c r="S118" s="140"/>
      <c r="T118" s="140"/>
      <c r="U118" s="140"/>
      <c r="V118" s="140"/>
      <c r="W118" s="140"/>
      <c r="X118" s="140"/>
      <c r="Y118" s="140"/>
      <c r="Z118" s="170">
        <v>217</v>
      </c>
      <c r="AA118" s="136">
        <v>32066571</v>
      </c>
      <c r="AB118" s="167">
        <v>45705</v>
      </c>
      <c r="AC118" s="160">
        <v>6036.6</v>
      </c>
      <c r="AD118" s="137" t="s">
        <v>743</v>
      </c>
      <c r="AE118" s="138">
        <v>25196939</v>
      </c>
      <c r="AF118" s="139">
        <v>45356</v>
      </c>
      <c r="AG118" s="172"/>
      <c r="AH118" s="142" t="s">
        <v>744</v>
      </c>
      <c r="AI118" s="133">
        <v>32929261</v>
      </c>
      <c r="AJ118" s="139">
        <v>45728</v>
      </c>
      <c r="AK118" s="160">
        <v>6036.6</v>
      </c>
      <c r="AL118" s="140"/>
      <c r="AM118" s="165" t="s">
        <v>44</v>
      </c>
    </row>
    <row r="119" spans="1:39" ht="15.75" customHeight="1" x14ac:dyDescent="0.25">
      <c r="A119" s="59" t="s">
        <v>728</v>
      </c>
      <c r="B119" s="284"/>
      <c r="C119" s="43"/>
      <c r="D119" s="43"/>
      <c r="E119" s="291"/>
      <c r="F119" s="291"/>
      <c r="G119" s="287"/>
      <c r="H119" s="279"/>
      <c r="I119" s="279"/>
      <c r="J119" s="279"/>
      <c r="K119" s="279"/>
      <c r="L119" s="279"/>
      <c r="M119" s="279"/>
      <c r="N119" s="279"/>
      <c r="O119" s="279"/>
      <c r="P119" s="279"/>
      <c r="Q119" s="279"/>
      <c r="R119" s="279"/>
      <c r="S119" s="144"/>
      <c r="T119" s="144"/>
      <c r="U119" s="144"/>
      <c r="V119" s="144"/>
      <c r="W119" s="144"/>
      <c r="X119" s="144"/>
      <c r="Y119" s="144"/>
      <c r="Z119" s="145"/>
      <c r="AA119" s="146"/>
      <c r="AB119" s="151"/>
      <c r="AC119" s="161"/>
      <c r="AD119" s="145" t="s">
        <v>743</v>
      </c>
      <c r="AE119" s="148">
        <v>25196939</v>
      </c>
      <c r="AF119" s="147">
        <v>45356</v>
      </c>
      <c r="AG119" s="175"/>
      <c r="AH119" s="168" t="s">
        <v>745</v>
      </c>
      <c r="AI119" s="149">
        <v>33073266</v>
      </c>
      <c r="AJ119" s="147">
        <v>45723</v>
      </c>
      <c r="AK119" s="161">
        <v>2475.42</v>
      </c>
      <c r="AL119" s="144"/>
      <c r="AM119" s="166" t="s">
        <v>44</v>
      </c>
    </row>
    <row r="120" spans="1:39" ht="15.75" customHeight="1" x14ac:dyDescent="0.25">
      <c r="A120" s="59" t="s">
        <v>725</v>
      </c>
      <c r="B120" s="282" t="s">
        <v>124</v>
      </c>
      <c r="C120" s="33"/>
      <c r="D120" s="33"/>
      <c r="E120" s="289" t="s">
        <v>34</v>
      </c>
      <c r="F120" s="289" t="s">
        <v>35</v>
      </c>
      <c r="G120" s="285">
        <v>2</v>
      </c>
      <c r="H120" s="280" t="s">
        <v>125</v>
      </c>
      <c r="I120" s="278">
        <v>18250889</v>
      </c>
      <c r="J120" s="272">
        <v>63830</v>
      </c>
      <c r="K120" s="272">
        <v>63830</v>
      </c>
      <c r="L120" s="280">
        <v>44949</v>
      </c>
      <c r="M120" s="278">
        <v>365</v>
      </c>
      <c r="N120" s="280">
        <f>L120+M120</f>
        <v>45314</v>
      </c>
      <c r="O120" s="278" t="s">
        <v>126</v>
      </c>
      <c r="P120" s="278">
        <v>23408999</v>
      </c>
      <c r="Q120" s="278" t="s">
        <v>126</v>
      </c>
      <c r="R120" s="278">
        <v>23408999</v>
      </c>
      <c r="S120" s="140"/>
      <c r="T120" s="140"/>
      <c r="U120" s="140"/>
      <c r="V120" s="140"/>
      <c r="W120" s="140"/>
      <c r="X120" s="140"/>
      <c r="Y120" s="140"/>
      <c r="Z120" s="135">
        <v>310</v>
      </c>
      <c r="AA120" s="136">
        <v>20608907</v>
      </c>
      <c r="AB120" s="134">
        <v>45082</v>
      </c>
      <c r="AC120" s="159">
        <v>5319.16</v>
      </c>
      <c r="AD120" s="140" t="s">
        <v>127</v>
      </c>
      <c r="AE120" s="138">
        <v>19473731</v>
      </c>
      <c r="AF120" s="141">
        <v>45019</v>
      </c>
      <c r="AG120" s="172">
        <v>63830</v>
      </c>
      <c r="AH120" s="135" t="s">
        <v>128</v>
      </c>
      <c r="AI120" s="133">
        <v>20806255</v>
      </c>
      <c r="AJ120" s="134">
        <v>45090</v>
      </c>
      <c r="AK120" s="159">
        <v>5319.16</v>
      </c>
      <c r="AL120" s="140"/>
      <c r="AM120" s="40" t="s">
        <v>129</v>
      </c>
    </row>
    <row r="121" spans="1:39" ht="15.75" customHeight="1" x14ac:dyDescent="0.25">
      <c r="A121" s="59" t="s">
        <v>725</v>
      </c>
      <c r="B121" s="283"/>
      <c r="C121" s="7"/>
      <c r="D121" s="7"/>
      <c r="E121" s="294"/>
      <c r="F121" s="294"/>
      <c r="G121" s="286"/>
      <c r="H121" s="271"/>
      <c r="I121" s="271"/>
      <c r="J121" s="271"/>
      <c r="K121" s="271"/>
      <c r="L121" s="271"/>
      <c r="M121" s="271"/>
      <c r="N121" s="271"/>
      <c r="O121" s="271"/>
      <c r="P121" s="271"/>
      <c r="Q121" s="271"/>
      <c r="R121" s="271"/>
      <c r="Z121" s="37">
        <v>326</v>
      </c>
      <c r="AA121" s="62">
        <v>21331388</v>
      </c>
      <c r="AB121" s="38">
        <v>45119</v>
      </c>
      <c r="AC121" s="157">
        <v>5319.16</v>
      </c>
      <c r="AD121" s="58" t="s">
        <v>130</v>
      </c>
      <c r="AE121" s="42">
        <v>24770891</v>
      </c>
      <c r="AF121" s="59">
        <v>45330</v>
      </c>
      <c r="AG121" s="155">
        <v>5319.16</v>
      </c>
      <c r="AH121" s="26" t="s">
        <v>131</v>
      </c>
      <c r="AI121" s="26">
        <v>21998903</v>
      </c>
      <c r="AJ121" s="38">
        <v>45162</v>
      </c>
      <c r="AK121" s="157">
        <v>5319.16</v>
      </c>
      <c r="AM121" s="40" t="s">
        <v>129</v>
      </c>
    </row>
    <row r="122" spans="1:39" ht="15.75" customHeight="1" x14ac:dyDescent="0.25">
      <c r="A122" s="59" t="s">
        <v>725</v>
      </c>
      <c r="B122" s="283"/>
      <c r="C122" s="7"/>
      <c r="D122" s="7"/>
      <c r="E122" s="294"/>
      <c r="F122" s="294"/>
      <c r="G122" s="286"/>
      <c r="H122" s="271"/>
      <c r="I122" s="271"/>
      <c r="J122" s="271"/>
      <c r="K122" s="271"/>
      <c r="L122" s="271"/>
      <c r="M122" s="271"/>
      <c r="N122" s="271"/>
      <c r="O122" s="271"/>
      <c r="P122" s="271"/>
      <c r="Q122" s="271"/>
      <c r="R122" s="271"/>
      <c r="Z122" s="37">
        <v>338</v>
      </c>
      <c r="AA122" s="62">
        <v>21930975</v>
      </c>
      <c r="AB122" s="38">
        <v>45139</v>
      </c>
      <c r="AC122" s="157">
        <v>5319.16</v>
      </c>
      <c r="AE122" s="42"/>
      <c r="AG122" s="155"/>
      <c r="AH122" s="26" t="s">
        <v>132</v>
      </c>
      <c r="AI122" s="26">
        <v>22110420</v>
      </c>
      <c r="AJ122" s="38">
        <v>45166</v>
      </c>
      <c r="AK122" s="157">
        <v>5319.16</v>
      </c>
      <c r="AM122" s="40" t="s">
        <v>129</v>
      </c>
    </row>
    <row r="123" spans="1:39" ht="15.75" customHeight="1" x14ac:dyDescent="0.25">
      <c r="A123" s="59" t="s">
        <v>725</v>
      </c>
      <c r="B123" s="283"/>
      <c r="C123" s="7"/>
      <c r="D123" s="7"/>
      <c r="E123" s="294"/>
      <c r="F123" s="294"/>
      <c r="G123" s="286"/>
      <c r="H123" s="271"/>
      <c r="I123" s="271"/>
      <c r="J123" s="271"/>
      <c r="K123" s="271"/>
      <c r="L123" s="271"/>
      <c r="M123" s="271"/>
      <c r="N123" s="271"/>
      <c r="O123" s="271"/>
      <c r="P123" s="271"/>
      <c r="Q123" s="271"/>
      <c r="R123" s="271"/>
      <c r="Z123" s="37">
        <v>355</v>
      </c>
      <c r="AA123" s="62">
        <v>22117732</v>
      </c>
      <c r="AB123" s="38">
        <v>45173</v>
      </c>
      <c r="AC123" s="157">
        <v>5319.16</v>
      </c>
      <c r="AE123" s="42"/>
      <c r="AG123" s="155"/>
      <c r="AH123" s="26" t="s">
        <v>133</v>
      </c>
      <c r="AI123" s="26">
        <v>22254643</v>
      </c>
      <c r="AJ123" s="38">
        <v>45181</v>
      </c>
      <c r="AK123" s="157">
        <v>5319.16</v>
      </c>
      <c r="AM123" s="40" t="s">
        <v>129</v>
      </c>
    </row>
    <row r="124" spans="1:39" ht="15.75" customHeight="1" x14ac:dyDescent="0.25">
      <c r="A124" s="59" t="s">
        <v>725</v>
      </c>
      <c r="B124" s="283"/>
      <c r="C124" s="7"/>
      <c r="D124" s="7"/>
      <c r="E124" s="294"/>
      <c r="F124" s="294"/>
      <c r="G124" s="286"/>
      <c r="H124" s="271"/>
      <c r="I124" s="271"/>
      <c r="J124" s="271"/>
      <c r="K124" s="271"/>
      <c r="L124" s="271"/>
      <c r="M124" s="271"/>
      <c r="N124" s="271"/>
      <c r="O124" s="271"/>
      <c r="P124" s="271"/>
      <c r="Q124" s="271"/>
      <c r="R124" s="271"/>
      <c r="Z124" s="37">
        <v>375</v>
      </c>
      <c r="AA124" s="62">
        <v>22651422</v>
      </c>
      <c r="AB124" s="38">
        <v>45202</v>
      </c>
      <c r="AC124" s="157">
        <v>5319.16</v>
      </c>
      <c r="AE124" s="42"/>
      <c r="AG124" s="155"/>
      <c r="AH124" s="26" t="s">
        <v>134</v>
      </c>
      <c r="AI124" s="26">
        <v>23383072</v>
      </c>
      <c r="AJ124" s="38">
        <v>45218</v>
      </c>
      <c r="AK124" s="157">
        <v>5319.16</v>
      </c>
      <c r="AM124" s="40" t="s">
        <v>129</v>
      </c>
    </row>
    <row r="125" spans="1:39" ht="15.75" customHeight="1" x14ac:dyDescent="0.25">
      <c r="A125" s="59" t="s">
        <v>725</v>
      </c>
      <c r="B125" s="283"/>
      <c r="C125" s="7"/>
      <c r="D125" s="7"/>
      <c r="E125" s="294"/>
      <c r="F125" s="294"/>
      <c r="G125" s="286"/>
      <c r="H125" s="271"/>
      <c r="I125" s="271"/>
      <c r="J125" s="271"/>
      <c r="K125" s="271"/>
      <c r="L125" s="271"/>
      <c r="M125" s="271"/>
      <c r="N125" s="271"/>
      <c r="O125" s="271"/>
      <c r="P125" s="271"/>
      <c r="Q125" s="271"/>
      <c r="R125" s="271"/>
      <c r="Z125" s="37">
        <v>396</v>
      </c>
      <c r="AA125" s="64">
        <v>23449563</v>
      </c>
      <c r="AB125" s="38">
        <v>45236</v>
      </c>
      <c r="AC125" s="157">
        <v>5319.16</v>
      </c>
      <c r="AE125" s="42"/>
      <c r="AG125" s="155"/>
      <c r="AH125" s="26" t="s">
        <v>135</v>
      </c>
      <c r="AI125" s="26">
        <v>23531370</v>
      </c>
      <c r="AJ125" s="38">
        <v>45254</v>
      </c>
      <c r="AK125" s="157">
        <v>5319.16</v>
      </c>
      <c r="AM125" s="40" t="s">
        <v>129</v>
      </c>
    </row>
    <row r="126" spans="1:39" ht="15.75" customHeight="1" x14ac:dyDescent="0.25">
      <c r="A126" s="59" t="s">
        <v>725</v>
      </c>
      <c r="B126" s="283"/>
      <c r="C126" s="7"/>
      <c r="D126" s="7"/>
      <c r="E126" s="294"/>
      <c r="F126" s="294"/>
      <c r="G126" s="286"/>
      <c r="H126" s="271"/>
      <c r="I126" s="271"/>
      <c r="J126" s="271"/>
      <c r="K126" s="271"/>
      <c r="L126" s="271"/>
      <c r="M126" s="271"/>
      <c r="N126" s="271"/>
      <c r="O126" s="271"/>
      <c r="P126" s="271"/>
      <c r="Q126" s="271"/>
      <c r="R126" s="271"/>
      <c r="Z126" s="37">
        <v>424</v>
      </c>
      <c r="AA126" s="64">
        <v>23678438</v>
      </c>
      <c r="AB126" s="38">
        <v>45265</v>
      </c>
      <c r="AC126" s="157">
        <v>5319.16</v>
      </c>
      <c r="AE126" s="42"/>
      <c r="AG126" s="155"/>
      <c r="AH126" s="26" t="s">
        <v>136</v>
      </c>
      <c r="AI126" s="26">
        <v>23952099</v>
      </c>
      <c r="AJ126" s="38">
        <v>45266</v>
      </c>
      <c r="AK126" s="157">
        <v>5319.16</v>
      </c>
      <c r="AM126" s="40" t="s">
        <v>129</v>
      </c>
    </row>
    <row r="127" spans="1:39" ht="15.75" customHeight="1" x14ac:dyDescent="0.25">
      <c r="A127" s="59" t="s">
        <v>725</v>
      </c>
      <c r="B127" s="283"/>
      <c r="C127" s="7"/>
      <c r="D127" s="7"/>
      <c r="E127" s="294"/>
      <c r="F127" s="294"/>
      <c r="G127" s="286"/>
      <c r="H127" s="271"/>
      <c r="I127" s="271"/>
      <c r="J127" s="271"/>
      <c r="K127" s="271"/>
      <c r="L127" s="271"/>
      <c r="M127" s="271"/>
      <c r="N127" s="271"/>
      <c r="O127" s="271"/>
      <c r="P127" s="271"/>
      <c r="Q127" s="271"/>
      <c r="R127" s="271"/>
      <c r="Z127" s="37">
        <v>437</v>
      </c>
      <c r="AA127" s="64">
        <v>23943633</v>
      </c>
      <c r="AB127" s="38">
        <v>45271</v>
      </c>
      <c r="AC127" s="157">
        <v>5319.16</v>
      </c>
      <c r="AE127" s="42"/>
      <c r="AG127" s="155"/>
      <c r="AH127" s="26" t="s">
        <v>137</v>
      </c>
      <c r="AI127" s="26">
        <v>24089124</v>
      </c>
      <c r="AJ127" s="38">
        <v>45282</v>
      </c>
      <c r="AK127" s="157">
        <v>5319.16</v>
      </c>
      <c r="AM127" s="40" t="s">
        <v>129</v>
      </c>
    </row>
    <row r="128" spans="1:39" ht="15.75" customHeight="1" x14ac:dyDescent="0.25">
      <c r="A128" s="59" t="s">
        <v>725</v>
      </c>
      <c r="B128" s="284"/>
      <c r="C128" s="43"/>
      <c r="D128" s="43"/>
      <c r="E128" s="291"/>
      <c r="F128" s="291"/>
      <c r="G128" s="287"/>
      <c r="H128" s="279"/>
      <c r="I128" s="279"/>
      <c r="J128" s="279"/>
      <c r="K128" s="279"/>
      <c r="L128" s="279"/>
      <c r="M128" s="279"/>
      <c r="N128" s="279"/>
      <c r="O128" s="279"/>
      <c r="P128" s="279"/>
      <c r="Q128" s="279"/>
      <c r="R128" s="279"/>
      <c r="S128" s="44"/>
      <c r="T128" s="44"/>
      <c r="U128" s="44"/>
      <c r="V128" s="44"/>
      <c r="W128" s="44"/>
      <c r="X128" s="44"/>
      <c r="Y128" s="44"/>
      <c r="Z128" s="55">
        <v>452</v>
      </c>
      <c r="AA128" s="121">
        <v>24469437</v>
      </c>
      <c r="AB128" s="47">
        <v>45310</v>
      </c>
      <c r="AC128" s="158">
        <v>5319.16</v>
      </c>
      <c r="AD128" s="44"/>
      <c r="AE128" s="46"/>
      <c r="AF128" s="44"/>
      <c r="AG128" s="153"/>
      <c r="AH128" s="14" t="s">
        <v>138</v>
      </c>
      <c r="AI128" s="14">
        <v>25053814</v>
      </c>
      <c r="AJ128" s="47">
        <v>45343</v>
      </c>
      <c r="AK128" s="158">
        <v>5319.16</v>
      </c>
      <c r="AL128" s="44"/>
      <c r="AM128" s="48" t="s">
        <v>129</v>
      </c>
    </row>
    <row r="129" spans="1:39" ht="15.75" customHeight="1" x14ac:dyDescent="0.25">
      <c r="A129" s="59" t="s">
        <v>725</v>
      </c>
      <c r="B129" s="282" t="s">
        <v>139</v>
      </c>
      <c r="C129" s="33"/>
      <c r="D129" s="33"/>
      <c r="E129" s="289" t="s">
        <v>34</v>
      </c>
      <c r="F129" s="289" t="s">
        <v>35</v>
      </c>
      <c r="G129" s="285">
        <v>22</v>
      </c>
      <c r="H129" s="280">
        <v>44927</v>
      </c>
      <c r="I129" s="278">
        <v>19825660</v>
      </c>
      <c r="J129" s="272">
        <v>1642739.45</v>
      </c>
      <c r="K129" s="272">
        <v>1642739.45</v>
      </c>
      <c r="L129" s="280">
        <v>45041</v>
      </c>
      <c r="M129" s="278">
        <v>30</v>
      </c>
      <c r="N129" s="280">
        <f>L129+M129</f>
        <v>45071</v>
      </c>
      <c r="O129" s="49"/>
      <c r="P129" s="49"/>
      <c r="Q129" s="278" t="s">
        <v>140</v>
      </c>
      <c r="R129" s="278">
        <v>20360833</v>
      </c>
      <c r="S129" s="60">
        <v>20446722</v>
      </c>
      <c r="T129" s="61">
        <v>45076</v>
      </c>
      <c r="U129" s="60">
        <v>20447498</v>
      </c>
      <c r="V129" s="61">
        <v>45089</v>
      </c>
      <c r="W129" s="49"/>
      <c r="X129" s="49"/>
      <c r="Y129" s="49"/>
      <c r="Z129" s="35">
        <v>10742</v>
      </c>
      <c r="AA129" s="122">
        <v>20389846</v>
      </c>
      <c r="AB129" s="9">
        <v>45064</v>
      </c>
      <c r="AC129" s="152">
        <v>124425.96</v>
      </c>
      <c r="AD129" s="49" t="s">
        <v>141</v>
      </c>
      <c r="AE129" s="56">
        <v>19823372</v>
      </c>
      <c r="AF129" s="57">
        <v>45040</v>
      </c>
      <c r="AG129" s="152">
        <v>347174.19</v>
      </c>
      <c r="AH129" s="11" t="s">
        <v>142</v>
      </c>
      <c r="AI129" s="35">
        <v>21929276</v>
      </c>
      <c r="AJ129" s="50">
        <v>45086</v>
      </c>
      <c r="AK129" s="156">
        <v>124425.96</v>
      </c>
      <c r="AL129" s="49"/>
      <c r="AM129" s="40" t="s">
        <v>129</v>
      </c>
    </row>
    <row r="130" spans="1:39" ht="15.75" customHeight="1" x14ac:dyDescent="0.25">
      <c r="A130" s="59" t="s">
        <v>725</v>
      </c>
      <c r="B130" s="283"/>
      <c r="C130" s="7"/>
      <c r="D130" s="7"/>
      <c r="E130" s="294"/>
      <c r="F130" s="294"/>
      <c r="G130" s="286"/>
      <c r="H130" s="271"/>
      <c r="I130" s="271"/>
      <c r="J130" s="271"/>
      <c r="K130" s="271"/>
      <c r="L130" s="271"/>
      <c r="M130" s="271"/>
      <c r="N130" s="271"/>
      <c r="Q130" s="271"/>
      <c r="R130" s="271"/>
      <c r="S130" s="62">
        <v>20640490</v>
      </c>
      <c r="T130" s="63">
        <v>45089</v>
      </c>
      <c r="U130" s="62">
        <v>20640915</v>
      </c>
      <c r="V130" s="63">
        <v>45089</v>
      </c>
      <c r="Z130" s="37">
        <v>10856</v>
      </c>
      <c r="AA130" s="64">
        <v>20613606</v>
      </c>
      <c r="AB130" s="27">
        <v>45079</v>
      </c>
      <c r="AC130" s="155">
        <v>880733.3</v>
      </c>
      <c r="AD130" s="58" t="s">
        <v>143</v>
      </c>
      <c r="AE130" s="42">
        <v>19845709</v>
      </c>
      <c r="AF130" s="59">
        <v>45042</v>
      </c>
      <c r="AG130" s="155">
        <v>376384.29</v>
      </c>
      <c r="AH130" s="26" t="s">
        <v>144</v>
      </c>
      <c r="AI130" s="37">
        <v>20812757</v>
      </c>
      <c r="AJ130" s="38">
        <v>45097</v>
      </c>
      <c r="AK130" s="157">
        <v>251958.33</v>
      </c>
      <c r="AM130" s="40" t="s">
        <v>129</v>
      </c>
    </row>
    <row r="131" spans="1:39" ht="15.75" customHeight="1" x14ac:dyDescent="0.25">
      <c r="A131" s="59" t="s">
        <v>725</v>
      </c>
      <c r="B131" s="283"/>
      <c r="C131" s="7"/>
      <c r="D131" s="7"/>
      <c r="E131" s="294"/>
      <c r="F131" s="294"/>
      <c r="G131" s="286"/>
      <c r="H131" s="271"/>
      <c r="I131" s="271"/>
      <c r="J131" s="271"/>
      <c r="K131" s="271"/>
      <c r="L131" s="271"/>
      <c r="M131" s="271"/>
      <c r="N131" s="271"/>
      <c r="Q131" s="271"/>
      <c r="R131" s="271"/>
      <c r="S131" s="64">
        <v>22133345</v>
      </c>
      <c r="T131" s="65">
        <v>45174</v>
      </c>
      <c r="U131" s="64">
        <v>22133368</v>
      </c>
      <c r="V131" s="65">
        <v>45174</v>
      </c>
      <c r="Z131" s="37">
        <v>11021</v>
      </c>
      <c r="AA131" s="64">
        <v>21008907</v>
      </c>
      <c r="AB131" s="27">
        <v>45110</v>
      </c>
      <c r="AC131" s="155">
        <v>637580.18999999994</v>
      </c>
      <c r="AD131" s="58" t="s">
        <v>145</v>
      </c>
      <c r="AE131" s="42">
        <v>19883083</v>
      </c>
      <c r="AF131" s="59">
        <v>45043</v>
      </c>
      <c r="AG131" s="155">
        <v>919180.97</v>
      </c>
      <c r="AH131" s="26" t="s">
        <v>146</v>
      </c>
      <c r="AI131" s="37">
        <v>20812823</v>
      </c>
      <c r="AJ131" s="38">
        <v>45097</v>
      </c>
      <c r="AK131" s="157">
        <v>628774.97</v>
      </c>
      <c r="AM131" s="40" t="s">
        <v>147</v>
      </c>
    </row>
    <row r="132" spans="1:39" ht="15.75" customHeight="1" x14ac:dyDescent="0.25">
      <c r="A132" s="59" t="s">
        <v>725</v>
      </c>
      <c r="B132" s="283"/>
      <c r="C132" s="7"/>
      <c r="D132" s="7"/>
      <c r="E132" s="294"/>
      <c r="F132" s="294"/>
      <c r="G132" s="286"/>
      <c r="H132" s="271"/>
      <c r="I132" s="271"/>
      <c r="J132" s="271"/>
      <c r="K132" s="271"/>
      <c r="L132" s="271"/>
      <c r="M132" s="271"/>
      <c r="N132" s="271"/>
      <c r="Q132" s="271"/>
      <c r="R132" s="271"/>
      <c r="S132" s="64">
        <v>23363508</v>
      </c>
      <c r="T132" s="65">
        <v>45246</v>
      </c>
      <c r="U132" s="64">
        <v>23363738</v>
      </c>
      <c r="V132" s="65">
        <v>45246</v>
      </c>
      <c r="Z132" s="37">
        <v>11498</v>
      </c>
      <c r="AA132" s="64">
        <v>23362397</v>
      </c>
      <c r="AB132" s="27">
        <v>45231</v>
      </c>
      <c r="AC132" s="155">
        <v>410683.6</v>
      </c>
      <c r="AD132" s="58" t="s">
        <v>148</v>
      </c>
      <c r="AE132" s="42">
        <v>22092059</v>
      </c>
      <c r="AF132" s="59">
        <v>45170</v>
      </c>
      <c r="AG132" s="155">
        <v>104639.9</v>
      </c>
      <c r="AH132" s="26" t="s">
        <v>149</v>
      </c>
      <c r="AI132" s="37">
        <v>22338488</v>
      </c>
      <c r="AJ132" s="38">
        <v>45181</v>
      </c>
      <c r="AK132" s="157">
        <v>185766.7</v>
      </c>
      <c r="AM132" s="40" t="s">
        <v>147</v>
      </c>
    </row>
    <row r="133" spans="1:39" ht="15.75" customHeight="1" x14ac:dyDescent="0.25">
      <c r="A133" s="59" t="s">
        <v>725</v>
      </c>
      <c r="B133" s="283"/>
      <c r="C133" s="7"/>
      <c r="D133" s="7"/>
      <c r="E133" s="294"/>
      <c r="F133" s="294"/>
      <c r="G133" s="286"/>
      <c r="H133" s="271"/>
      <c r="I133" s="271"/>
      <c r="J133" s="271"/>
      <c r="K133" s="271"/>
      <c r="L133" s="271"/>
      <c r="M133" s="271"/>
      <c r="N133" s="271"/>
      <c r="Q133" s="271"/>
      <c r="R133" s="271"/>
      <c r="AA133" s="64"/>
      <c r="AC133" s="157"/>
      <c r="AD133" s="58" t="s">
        <v>150</v>
      </c>
      <c r="AE133" s="42">
        <v>22195827</v>
      </c>
      <c r="AF133" s="59">
        <v>45170</v>
      </c>
      <c r="AG133" s="155">
        <v>104639.9</v>
      </c>
      <c r="AH133" s="26" t="s">
        <v>151</v>
      </c>
      <c r="AI133" s="37">
        <v>25134366</v>
      </c>
      <c r="AJ133" s="38">
        <v>45315</v>
      </c>
      <c r="AK133" s="157">
        <v>347174.19</v>
      </c>
      <c r="AM133" s="40" t="s">
        <v>129</v>
      </c>
    </row>
    <row r="134" spans="1:39" ht="15.75" customHeight="1" x14ac:dyDescent="0.25">
      <c r="A134" s="59" t="s">
        <v>725</v>
      </c>
      <c r="B134" s="283"/>
      <c r="C134" s="7"/>
      <c r="D134" s="7"/>
      <c r="E134" s="294"/>
      <c r="F134" s="294"/>
      <c r="G134" s="286"/>
      <c r="H134" s="271"/>
      <c r="I134" s="271"/>
      <c r="J134" s="271"/>
      <c r="K134" s="271"/>
      <c r="L134" s="271"/>
      <c r="M134" s="271"/>
      <c r="N134" s="271"/>
      <c r="Q134" s="271"/>
      <c r="R134" s="271"/>
      <c r="AA134" s="64"/>
      <c r="AC134" s="157"/>
      <c r="AD134" s="58" t="s">
        <v>152</v>
      </c>
      <c r="AE134" s="42">
        <v>22745072</v>
      </c>
      <c r="AF134" s="59">
        <v>45209</v>
      </c>
      <c r="AG134" s="155">
        <v>410684.86</v>
      </c>
      <c r="AH134" s="26" t="s">
        <v>153</v>
      </c>
      <c r="AI134" s="37">
        <v>25134476</v>
      </c>
      <c r="AJ134" s="38">
        <v>45188</v>
      </c>
      <c r="AK134" s="157">
        <v>104639.3</v>
      </c>
      <c r="AM134" s="40" t="s">
        <v>129</v>
      </c>
    </row>
    <row r="135" spans="1:39" ht="15.75" customHeight="1" x14ac:dyDescent="0.25">
      <c r="A135" s="59" t="s">
        <v>725</v>
      </c>
      <c r="B135" s="284"/>
      <c r="C135" s="43"/>
      <c r="D135" s="43"/>
      <c r="E135" s="291"/>
      <c r="F135" s="291"/>
      <c r="G135" s="287"/>
      <c r="H135" s="279"/>
      <c r="I135" s="279"/>
      <c r="J135" s="279"/>
      <c r="K135" s="279"/>
      <c r="L135" s="279"/>
      <c r="M135" s="279"/>
      <c r="N135" s="279"/>
      <c r="O135" s="44"/>
      <c r="P135" s="44"/>
      <c r="Q135" s="279"/>
      <c r="R135" s="279"/>
      <c r="S135" s="44"/>
      <c r="T135" s="44"/>
      <c r="U135" s="44"/>
      <c r="V135" s="44"/>
      <c r="W135" s="44"/>
      <c r="X135" s="44"/>
      <c r="Y135" s="44"/>
      <c r="Z135" s="44"/>
      <c r="AA135" s="121"/>
      <c r="AB135" s="47"/>
      <c r="AC135" s="158"/>
      <c r="AD135" s="44"/>
      <c r="AE135" s="46"/>
      <c r="AF135" s="44"/>
      <c r="AG135" s="153"/>
      <c r="AH135" s="14" t="s">
        <v>154</v>
      </c>
      <c r="AI135" s="55">
        <v>25134760</v>
      </c>
      <c r="AJ135" s="47">
        <v>45253</v>
      </c>
      <c r="AK135" s="158">
        <v>410683.6</v>
      </c>
      <c r="AL135" s="44"/>
      <c r="AM135" s="48" t="s">
        <v>147</v>
      </c>
    </row>
    <row r="136" spans="1:39" ht="15.75" customHeight="1" x14ac:dyDescent="0.25">
      <c r="A136" s="59" t="s">
        <v>725</v>
      </c>
      <c r="B136" s="66" t="s">
        <v>155</v>
      </c>
      <c r="C136" s="67"/>
      <c r="D136" s="67"/>
      <c r="E136" s="20" t="s">
        <v>34</v>
      </c>
      <c r="F136" s="20" t="s">
        <v>35</v>
      </c>
      <c r="G136" s="21">
        <v>95</v>
      </c>
      <c r="H136" s="22">
        <v>44562</v>
      </c>
      <c r="I136" s="21">
        <v>17033177</v>
      </c>
      <c r="J136" s="68">
        <v>88.68</v>
      </c>
      <c r="K136" s="68">
        <v>35649.360000000001</v>
      </c>
      <c r="L136" s="69">
        <v>44866</v>
      </c>
      <c r="M136" s="70">
        <v>30</v>
      </c>
      <c r="N136" s="69">
        <f>L136+M136</f>
        <v>44896</v>
      </c>
      <c r="O136" s="70"/>
      <c r="P136" s="70"/>
      <c r="Q136" s="70" t="s">
        <v>156</v>
      </c>
      <c r="R136" s="70">
        <v>17141323</v>
      </c>
      <c r="S136" s="70">
        <v>17441460</v>
      </c>
      <c r="T136" s="69">
        <v>44888</v>
      </c>
      <c r="U136" s="70">
        <v>17441568</v>
      </c>
      <c r="V136" s="69">
        <v>44888</v>
      </c>
      <c r="W136" s="70"/>
      <c r="X136" s="70"/>
      <c r="Y136" s="70"/>
      <c r="Z136" s="21">
        <v>1178</v>
      </c>
      <c r="AA136" s="120">
        <v>17433209</v>
      </c>
      <c r="AB136" s="22">
        <v>44877</v>
      </c>
      <c r="AC136" s="154">
        <v>35649.360000000001</v>
      </c>
      <c r="AD136" s="70" t="s">
        <v>157</v>
      </c>
      <c r="AE136" s="71">
        <v>16866923</v>
      </c>
      <c r="AF136" s="69">
        <v>44851</v>
      </c>
      <c r="AG136" s="154">
        <v>35649.360000000001</v>
      </c>
      <c r="AH136" t="s">
        <v>851</v>
      </c>
      <c r="AI136" s="70">
        <v>17597554</v>
      </c>
      <c r="AJ136" s="69">
        <v>44893</v>
      </c>
      <c r="AK136" s="162">
        <v>35649.360000000001</v>
      </c>
      <c r="AL136" s="70"/>
      <c r="AM136" s="72" t="s">
        <v>129</v>
      </c>
    </row>
    <row r="137" spans="1:39" ht="15.75" customHeight="1" x14ac:dyDescent="0.25">
      <c r="A137" s="59" t="s">
        <v>725</v>
      </c>
      <c r="B137" s="282" t="s">
        <v>158</v>
      </c>
      <c r="C137" s="33"/>
      <c r="D137" s="33"/>
      <c r="E137" s="289" t="s">
        <v>34</v>
      </c>
      <c r="F137" s="289" t="s">
        <v>35</v>
      </c>
      <c r="G137" s="285">
        <v>74</v>
      </c>
      <c r="H137" s="280">
        <v>44562</v>
      </c>
      <c r="I137" s="278">
        <v>15816001</v>
      </c>
      <c r="J137" s="10">
        <v>740</v>
      </c>
      <c r="K137" s="272">
        <v>94679.95</v>
      </c>
      <c r="L137" s="280">
        <v>44841</v>
      </c>
      <c r="M137" s="278">
        <v>30</v>
      </c>
      <c r="N137" s="280">
        <f>L137+M137</f>
        <v>44871</v>
      </c>
      <c r="O137" s="278" t="s">
        <v>159</v>
      </c>
      <c r="P137" s="278">
        <v>15987940</v>
      </c>
      <c r="Q137" s="278" t="s">
        <v>159</v>
      </c>
      <c r="R137" s="278">
        <v>15987940</v>
      </c>
      <c r="S137" s="49"/>
      <c r="T137" s="49"/>
      <c r="U137" s="49"/>
      <c r="V137" s="49"/>
      <c r="W137" s="49"/>
      <c r="X137" s="49"/>
      <c r="Y137" s="49"/>
      <c r="Z137" s="11">
        <v>774</v>
      </c>
      <c r="AA137" s="60">
        <v>16095667</v>
      </c>
      <c r="AB137" s="9">
        <v>44795</v>
      </c>
      <c r="AC137" s="152">
        <v>93256.95</v>
      </c>
      <c r="AD137" s="49" t="s">
        <v>160</v>
      </c>
      <c r="AE137" s="56">
        <v>15707474</v>
      </c>
      <c r="AF137" s="57">
        <v>44775</v>
      </c>
      <c r="AG137" s="152">
        <v>94679.95</v>
      </c>
      <c r="AH137" s="11" t="s">
        <v>161</v>
      </c>
      <c r="AI137" s="35">
        <v>16867245</v>
      </c>
      <c r="AJ137" s="9">
        <v>44819</v>
      </c>
      <c r="AK137" s="156">
        <v>93256.95</v>
      </c>
      <c r="AL137" s="49"/>
      <c r="AM137" s="36" t="s">
        <v>129</v>
      </c>
    </row>
    <row r="138" spans="1:39" ht="15.75" customHeight="1" x14ac:dyDescent="0.25">
      <c r="A138" s="59" t="s">
        <v>725</v>
      </c>
      <c r="B138" s="283"/>
      <c r="C138" s="7"/>
      <c r="D138" s="7"/>
      <c r="E138" s="294"/>
      <c r="F138" s="294"/>
      <c r="G138" s="286"/>
      <c r="H138" s="271"/>
      <c r="I138" s="271"/>
      <c r="J138" s="28">
        <v>461.5</v>
      </c>
      <c r="K138" s="271"/>
      <c r="L138" s="271"/>
      <c r="M138" s="271"/>
      <c r="N138" s="271"/>
      <c r="O138" s="271"/>
      <c r="P138" s="271"/>
      <c r="Q138" s="271"/>
      <c r="R138" s="271"/>
      <c r="AA138" s="64"/>
      <c r="AC138" s="157"/>
      <c r="AD138" s="58" t="s">
        <v>162</v>
      </c>
      <c r="AE138" s="42">
        <v>15707507</v>
      </c>
      <c r="AF138" s="59">
        <v>44775</v>
      </c>
      <c r="AG138" s="155">
        <v>93256.95</v>
      </c>
      <c r="AJ138" s="123"/>
      <c r="AK138" s="157"/>
      <c r="AM138" s="40"/>
    </row>
    <row r="139" spans="1:39" ht="15.75" customHeight="1" x14ac:dyDescent="0.25">
      <c r="A139" s="59" t="s">
        <v>725</v>
      </c>
      <c r="B139" s="283"/>
      <c r="C139" s="7"/>
      <c r="D139" s="7"/>
      <c r="E139" s="294"/>
      <c r="F139" s="294"/>
      <c r="G139" s="286"/>
      <c r="H139" s="271"/>
      <c r="I139" s="271"/>
      <c r="J139" s="28">
        <v>640</v>
      </c>
      <c r="K139" s="271"/>
      <c r="L139" s="271"/>
      <c r="M139" s="271"/>
      <c r="N139" s="271"/>
      <c r="O139" s="271"/>
      <c r="P139" s="271"/>
      <c r="Q139" s="271"/>
      <c r="R139" s="271"/>
      <c r="AA139" s="64"/>
      <c r="AC139" s="157"/>
      <c r="AE139" s="42"/>
      <c r="AG139" s="155"/>
      <c r="AJ139" s="123"/>
      <c r="AK139" s="157"/>
      <c r="AM139" s="40"/>
    </row>
    <row r="140" spans="1:39" ht="15.75" customHeight="1" x14ac:dyDescent="0.25">
      <c r="A140" s="59" t="s">
        <v>725</v>
      </c>
      <c r="B140" s="283"/>
      <c r="C140" s="7"/>
      <c r="D140" s="7"/>
      <c r="E140" s="294"/>
      <c r="F140" s="294"/>
      <c r="G140" s="286"/>
      <c r="H140" s="271"/>
      <c r="I140" s="271"/>
      <c r="J140" s="28">
        <v>1992.85</v>
      </c>
      <c r="K140" s="271"/>
      <c r="L140" s="271"/>
      <c r="M140" s="271"/>
      <c r="N140" s="271"/>
      <c r="O140" s="271"/>
      <c r="P140" s="271"/>
      <c r="Q140" s="271"/>
      <c r="R140" s="271"/>
      <c r="AA140" s="64"/>
      <c r="AC140" s="157"/>
      <c r="AE140" s="42"/>
      <c r="AG140" s="155"/>
      <c r="AJ140" s="123"/>
      <c r="AK140" s="157"/>
      <c r="AM140" s="40"/>
    </row>
    <row r="141" spans="1:39" ht="15.75" customHeight="1" x14ac:dyDescent="0.25">
      <c r="A141" s="59" t="s">
        <v>725</v>
      </c>
      <c r="B141" s="283"/>
      <c r="C141" s="7"/>
      <c r="D141" s="7"/>
      <c r="E141" s="294"/>
      <c r="F141" s="294"/>
      <c r="G141" s="292">
        <v>75</v>
      </c>
      <c r="H141" s="274">
        <v>44562</v>
      </c>
      <c r="I141" s="275">
        <v>15816023</v>
      </c>
      <c r="J141" s="28">
        <v>588.33000000000004</v>
      </c>
      <c r="K141" s="273">
        <v>93256.95</v>
      </c>
      <c r="L141" s="274">
        <v>44841</v>
      </c>
      <c r="M141" s="275">
        <v>30</v>
      </c>
      <c r="N141" s="274">
        <f>L141+M141</f>
        <v>44871</v>
      </c>
      <c r="O141" s="271"/>
      <c r="P141" s="271"/>
      <c r="Q141" s="271"/>
      <c r="R141" s="271"/>
      <c r="AA141" s="64"/>
      <c r="AC141" s="157"/>
      <c r="AE141" s="42"/>
      <c r="AG141" s="155"/>
      <c r="AJ141" s="123"/>
      <c r="AK141" s="157"/>
      <c r="AM141" s="40"/>
    </row>
    <row r="142" spans="1:39" ht="15.75" customHeight="1" x14ac:dyDescent="0.25">
      <c r="A142" s="59" t="s">
        <v>725</v>
      </c>
      <c r="B142" s="284"/>
      <c r="C142" s="43"/>
      <c r="D142" s="43"/>
      <c r="E142" s="291"/>
      <c r="F142" s="291"/>
      <c r="G142" s="287"/>
      <c r="H142" s="279"/>
      <c r="I142" s="279"/>
      <c r="J142" s="16">
        <v>731.4</v>
      </c>
      <c r="K142" s="279"/>
      <c r="L142" s="279"/>
      <c r="M142" s="279"/>
      <c r="N142" s="279"/>
      <c r="O142" s="279"/>
      <c r="P142" s="279"/>
      <c r="Q142" s="279"/>
      <c r="R142" s="279"/>
      <c r="S142" s="44"/>
      <c r="T142" s="44"/>
      <c r="U142" s="44"/>
      <c r="V142" s="44"/>
      <c r="W142" s="44"/>
      <c r="X142" s="44"/>
      <c r="Y142" s="44"/>
      <c r="Z142" s="44"/>
      <c r="AA142" s="121"/>
      <c r="AB142" s="47"/>
      <c r="AC142" s="158"/>
      <c r="AD142" s="44"/>
      <c r="AE142" s="46"/>
      <c r="AF142" s="44"/>
      <c r="AG142" s="153"/>
      <c r="AH142" s="55"/>
      <c r="AI142" s="44"/>
      <c r="AJ142" s="75"/>
      <c r="AK142" s="158"/>
      <c r="AL142" s="44"/>
      <c r="AM142" s="48"/>
    </row>
    <row r="143" spans="1:39" ht="15.75" customHeight="1" x14ac:dyDescent="0.25">
      <c r="A143" s="59" t="s">
        <v>725</v>
      </c>
      <c r="B143" s="19" t="s">
        <v>163</v>
      </c>
      <c r="C143" s="67"/>
      <c r="D143" s="67"/>
      <c r="E143" s="20" t="s">
        <v>34</v>
      </c>
      <c r="F143" s="20" t="s">
        <v>35</v>
      </c>
      <c r="G143" s="21">
        <v>16</v>
      </c>
      <c r="H143" s="22">
        <v>44927</v>
      </c>
      <c r="I143" s="21">
        <v>18955286</v>
      </c>
      <c r="J143" s="68">
        <v>1235</v>
      </c>
      <c r="K143" s="68">
        <v>92625</v>
      </c>
      <c r="L143" s="22">
        <v>44992</v>
      </c>
      <c r="M143" s="21">
        <v>30</v>
      </c>
      <c r="N143" s="73">
        <f>L143+M143</f>
        <v>45022</v>
      </c>
      <c r="O143" s="21" t="s">
        <v>159</v>
      </c>
      <c r="P143" s="21">
        <v>19006529</v>
      </c>
      <c r="Q143" s="21" t="s">
        <v>159</v>
      </c>
      <c r="R143" s="21">
        <v>19006529</v>
      </c>
      <c r="S143" s="70"/>
      <c r="T143" s="70"/>
      <c r="U143" s="70"/>
      <c r="V143" s="70"/>
      <c r="W143" s="70"/>
      <c r="X143" s="70"/>
      <c r="Y143" s="70"/>
      <c r="Z143" s="74">
        <v>1862</v>
      </c>
      <c r="AA143" s="124">
        <v>19782788</v>
      </c>
      <c r="AB143" s="73">
        <v>45033</v>
      </c>
      <c r="AC143" s="162">
        <v>92625</v>
      </c>
      <c r="AD143" s="70" t="s">
        <v>164</v>
      </c>
      <c r="AE143" s="71">
        <v>19411984</v>
      </c>
      <c r="AF143" s="69">
        <v>45015</v>
      </c>
      <c r="AG143" s="154">
        <v>32625</v>
      </c>
      <c r="AH143" s="21" t="s">
        <v>165</v>
      </c>
      <c r="AI143" s="21">
        <v>20128592</v>
      </c>
      <c r="AJ143" s="22">
        <v>45051</v>
      </c>
      <c r="AK143" s="154">
        <v>32625</v>
      </c>
      <c r="AL143" s="70"/>
      <c r="AM143" s="72" t="s">
        <v>129</v>
      </c>
    </row>
    <row r="144" spans="1:39" ht="15.75" customHeight="1" x14ac:dyDescent="0.25">
      <c r="A144" s="59" t="s">
        <v>725</v>
      </c>
      <c r="B144" s="282" t="s">
        <v>166</v>
      </c>
      <c r="C144" s="33"/>
      <c r="D144" s="33"/>
      <c r="E144" s="289" t="s">
        <v>34</v>
      </c>
      <c r="F144" s="289" t="s">
        <v>35</v>
      </c>
      <c r="G144" s="285">
        <v>69</v>
      </c>
      <c r="H144" s="280">
        <v>44562</v>
      </c>
      <c r="I144" s="278">
        <v>15648858</v>
      </c>
      <c r="J144" s="10">
        <v>1500</v>
      </c>
      <c r="K144" s="10">
        <v>1500</v>
      </c>
      <c r="L144" s="280">
        <v>44774</v>
      </c>
      <c r="M144" s="278">
        <v>30</v>
      </c>
      <c r="N144" s="280">
        <f>L144+M144</f>
        <v>44804</v>
      </c>
      <c r="O144" s="278" t="s">
        <v>167</v>
      </c>
      <c r="P144" s="278">
        <v>15764469</v>
      </c>
      <c r="Q144" s="278" t="s">
        <v>167</v>
      </c>
      <c r="R144" s="278">
        <v>15764469</v>
      </c>
      <c r="S144" s="278">
        <v>16642106</v>
      </c>
      <c r="T144" s="280">
        <v>44832</v>
      </c>
      <c r="U144" s="278">
        <v>16642553</v>
      </c>
      <c r="V144" s="280">
        <v>44833</v>
      </c>
      <c r="W144" s="49"/>
      <c r="X144" s="49"/>
      <c r="Y144" s="49"/>
      <c r="Z144" s="35">
        <v>34</v>
      </c>
      <c r="AA144" s="122">
        <v>16640725</v>
      </c>
      <c r="AB144" s="50">
        <v>44827</v>
      </c>
      <c r="AC144" s="152">
        <v>3000</v>
      </c>
      <c r="AD144" s="49" t="s">
        <v>168</v>
      </c>
      <c r="AE144" s="56">
        <v>15629125</v>
      </c>
      <c r="AF144" s="57">
        <v>44770</v>
      </c>
      <c r="AG144" s="152">
        <v>2600</v>
      </c>
      <c r="AH144" s="35" t="s">
        <v>169</v>
      </c>
      <c r="AI144" s="35">
        <v>17605286</v>
      </c>
      <c r="AJ144" s="50">
        <v>44860</v>
      </c>
      <c r="AK144" s="156">
        <v>2600</v>
      </c>
      <c r="AL144" s="49"/>
      <c r="AM144" s="36" t="s">
        <v>129</v>
      </c>
    </row>
    <row r="145" spans="1:39" ht="15.75" customHeight="1" x14ac:dyDescent="0.25">
      <c r="A145" s="59" t="s">
        <v>725</v>
      </c>
      <c r="B145" s="284"/>
      <c r="C145" s="43"/>
      <c r="D145" s="43"/>
      <c r="E145" s="291"/>
      <c r="F145" s="291"/>
      <c r="G145" s="287"/>
      <c r="H145" s="279"/>
      <c r="I145" s="279"/>
      <c r="J145" s="16">
        <v>1500</v>
      </c>
      <c r="K145" s="16">
        <v>1500</v>
      </c>
      <c r="L145" s="279"/>
      <c r="M145" s="279"/>
      <c r="N145" s="279"/>
      <c r="O145" s="279"/>
      <c r="P145" s="279"/>
      <c r="Q145" s="279"/>
      <c r="R145" s="279"/>
      <c r="S145" s="279"/>
      <c r="T145" s="279"/>
      <c r="U145" s="279"/>
      <c r="V145" s="279"/>
      <c r="W145" s="44"/>
      <c r="X145" s="44"/>
      <c r="Y145" s="44"/>
      <c r="Z145" s="44"/>
      <c r="AA145" s="121"/>
      <c r="AB145" s="47"/>
      <c r="AC145" s="158"/>
      <c r="AD145" s="44" t="s">
        <v>170</v>
      </c>
      <c r="AE145" s="46">
        <v>15629204</v>
      </c>
      <c r="AF145" s="75">
        <v>44770</v>
      </c>
      <c r="AG145" s="153">
        <v>400</v>
      </c>
      <c r="AH145" s="55" t="s">
        <v>171</v>
      </c>
      <c r="AI145" s="55">
        <v>17605311</v>
      </c>
      <c r="AJ145" s="47">
        <v>44875</v>
      </c>
      <c r="AK145" s="153">
        <v>400</v>
      </c>
      <c r="AL145" s="44"/>
      <c r="AM145" s="48" t="s">
        <v>784</v>
      </c>
    </row>
    <row r="146" spans="1:39" ht="15.75" customHeight="1" x14ac:dyDescent="0.25">
      <c r="A146" s="59" t="s">
        <v>725</v>
      </c>
      <c r="B146" s="282" t="s">
        <v>172</v>
      </c>
      <c r="C146" s="33"/>
      <c r="D146" s="33"/>
      <c r="E146" s="289" t="s">
        <v>34</v>
      </c>
      <c r="F146" s="289" t="s">
        <v>35</v>
      </c>
      <c r="G146" s="285">
        <v>88</v>
      </c>
      <c r="H146" s="280">
        <v>44562</v>
      </c>
      <c r="I146" s="278">
        <v>16745316</v>
      </c>
      <c r="J146" s="272">
        <v>8.4749999999999996</v>
      </c>
      <c r="K146" s="272">
        <v>33900</v>
      </c>
      <c r="L146" s="280">
        <v>44858</v>
      </c>
      <c r="M146" s="278">
        <v>120</v>
      </c>
      <c r="N146" s="280">
        <f>L146+M146</f>
        <v>44978</v>
      </c>
      <c r="O146" s="49"/>
      <c r="P146" s="49"/>
      <c r="Q146" s="49"/>
      <c r="R146" s="49"/>
      <c r="S146" s="278">
        <v>18211771</v>
      </c>
      <c r="T146" s="280">
        <v>44942</v>
      </c>
      <c r="U146" s="278">
        <v>18211995</v>
      </c>
      <c r="V146" s="280">
        <v>44942</v>
      </c>
      <c r="W146" s="49"/>
      <c r="X146" s="49"/>
      <c r="Y146" s="49"/>
      <c r="Z146" s="35">
        <v>208225</v>
      </c>
      <c r="AA146" s="60">
        <v>15824026</v>
      </c>
      <c r="AB146" s="9">
        <v>44615</v>
      </c>
      <c r="AC146" s="152">
        <v>80220</v>
      </c>
      <c r="AD146" s="49" t="s">
        <v>173</v>
      </c>
      <c r="AE146" s="56">
        <v>16722565</v>
      </c>
      <c r="AF146" s="57">
        <v>44839</v>
      </c>
      <c r="AG146" s="152">
        <v>33900</v>
      </c>
      <c r="AH146" s="11" t="s">
        <v>174</v>
      </c>
      <c r="AI146" s="11">
        <v>18424101</v>
      </c>
      <c r="AJ146" s="9">
        <v>44952</v>
      </c>
      <c r="AK146" s="156">
        <v>33900</v>
      </c>
      <c r="AL146" s="49"/>
      <c r="AM146" s="36" t="s">
        <v>129</v>
      </c>
    </row>
    <row r="147" spans="1:39" ht="15.75" customHeight="1" x14ac:dyDescent="0.25">
      <c r="A147" s="59" t="s">
        <v>725</v>
      </c>
      <c r="B147" s="283"/>
      <c r="C147" s="7"/>
      <c r="D147" s="7"/>
      <c r="E147" s="294"/>
      <c r="F147" s="294"/>
      <c r="G147" s="286"/>
      <c r="H147" s="271"/>
      <c r="I147" s="271"/>
      <c r="J147" s="271"/>
      <c r="K147" s="271"/>
      <c r="L147" s="271"/>
      <c r="M147" s="271"/>
      <c r="N147" s="271"/>
      <c r="S147" s="271"/>
      <c r="T147" s="271"/>
      <c r="U147" s="271"/>
      <c r="V147" s="271"/>
      <c r="Z147" s="37">
        <v>208585</v>
      </c>
      <c r="AA147" s="64">
        <v>15824044</v>
      </c>
      <c r="AB147" s="38">
        <v>44617</v>
      </c>
      <c r="AC147" s="157">
        <v>297840</v>
      </c>
      <c r="AE147" s="42"/>
      <c r="AG147" s="155"/>
      <c r="AJ147" s="123"/>
      <c r="AK147" s="157"/>
      <c r="AM147" s="40"/>
    </row>
    <row r="148" spans="1:39" ht="15.75" customHeight="1" x14ac:dyDescent="0.25">
      <c r="A148" s="59" t="s">
        <v>725</v>
      </c>
      <c r="B148" s="283"/>
      <c r="C148" s="7"/>
      <c r="D148" s="7"/>
      <c r="E148" s="294"/>
      <c r="F148" s="294"/>
      <c r="G148" s="286"/>
      <c r="H148" s="271"/>
      <c r="I148" s="271"/>
      <c r="J148" s="271"/>
      <c r="K148" s="271"/>
      <c r="L148" s="271"/>
      <c r="M148" s="271"/>
      <c r="N148" s="271"/>
      <c r="S148" s="271"/>
      <c r="T148" s="271"/>
      <c r="U148" s="271"/>
      <c r="V148" s="271"/>
      <c r="Z148" s="37">
        <v>208587</v>
      </c>
      <c r="AA148" s="64">
        <v>15824063</v>
      </c>
      <c r="AB148" s="38">
        <v>44617</v>
      </c>
      <c r="AC148" s="157">
        <v>52560</v>
      </c>
      <c r="AE148" s="42"/>
      <c r="AG148" s="155"/>
      <c r="AJ148" s="123"/>
      <c r="AK148" s="157"/>
      <c r="AM148" s="40"/>
    </row>
    <row r="149" spans="1:39" ht="15.75" customHeight="1" x14ac:dyDescent="0.25">
      <c r="A149" s="59" t="s">
        <v>725</v>
      </c>
      <c r="B149" s="283"/>
      <c r="C149" s="7"/>
      <c r="D149" s="7"/>
      <c r="E149" s="294"/>
      <c r="F149" s="294"/>
      <c r="G149" s="286"/>
      <c r="H149" s="271"/>
      <c r="I149" s="271"/>
      <c r="J149" s="271"/>
      <c r="K149" s="271"/>
      <c r="L149" s="271"/>
      <c r="M149" s="271"/>
      <c r="N149" s="271"/>
      <c r="S149" s="271"/>
      <c r="T149" s="271"/>
      <c r="U149" s="271"/>
      <c r="V149" s="271"/>
      <c r="Z149" s="37">
        <v>208703</v>
      </c>
      <c r="AA149" s="64">
        <v>15824094</v>
      </c>
      <c r="AB149" s="27">
        <v>44620</v>
      </c>
      <c r="AC149" s="157">
        <v>116880</v>
      </c>
      <c r="AE149" s="42"/>
      <c r="AG149" s="155"/>
      <c r="AJ149" s="123"/>
      <c r="AK149" s="157"/>
      <c r="AM149" s="40"/>
    </row>
    <row r="150" spans="1:39" ht="15.75" customHeight="1" x14ac:dyDescent="0.25">
      <c r="A150" s="59" t="s">
        <v>725</v>
      </c>
      <c r="B150" s="283"/>
      <c r="C150" s="7"/>
      <c r="D150" s="7"/>
      <c r="E150" s="294"/>
      <c r="F150" s="294"/>
      <c r="G150" s="286"/>
      <c r="H150" s="271"/>
      <c r="I150" s="271"/>
      <c r="J150" s="271"/>
      <c r="K150" s="271"/>
      <c r="L150" s="271"/>
      <c r="M150" s="271"/>
      <c r="N150" s="271"/>
      <c r="S150" s="271"/>
      <c r="T150" s="271"/>
      <c r="U150" s="271"/>
      <c r="V150" s="271"/>
      <c r="Z150" s="37">
        <v>211028</v>
      </c>
      <c r="AA150" s="64">
        <v>15824123</v>
      </c>
      <c r="AB150" s="27">
        <v>44651</v>
      </c>
      <c r="AC150" s="155">
        <v>346870</v>
      </c>
      <c r="AE150" s="42"/>
      <c r="AG150" s="155"/>
      <c r="AJ150" s="123"/>
      <c r="AK150" s="157"/>
      <c r="AM150" s="40"/>
    </row>
    <row r="151" spans="1:39" ht="15.75" customHeight="1" x14ac:dyDescent="0.25">
      <c r="A151" s="59" t="s">
        <v>725</v>
      </c>
      <c r="B151" s="283"/>
      <c r="C151" s="7"/>
      <c r="D151" s="7"/>
      <c r="E151" s="294"/>
      <c r="F151" s="294"/>
      <c r="G151" s="286"/>
      <c r="H151" s="271"/>
      <c r="I151" s="271"/>
      <c r="J151" s="271"/>
      <c r="K151" s="271"/>
      <c r="L151" s="271"/>
      <c r="M151" s="271"/>
      <c r="N151" s="271"/>
      <c r="S151" s="271"/>
      <c r="T151" s="271"/>
      <c r="U151" s="271"/>
      <c r="V151" s="271"/>
      <c r="Z151" s="37">
        <v>211458</v>
      </c>
      <c r="AA151" s="64">
        <v>15824146</v>
      </c>
      <c r="AB151" s="27">
        <v>44663</v>
      </c>
      <c r="AC151" s="157">
        <v>68820</v>
      </c>
      <c r="AE151" s="42"/>
      <c r="AG151" s="155"/>
      <c r="AJ151" s="123"/>
      <c r="AK151" s="157"/>
      <c r="AM151" s="40"/>
    </row>
    <row r="152" spans="1:39" ht="15.75" customHeight="1" x14ac:dyDescent="0.25">
      <c r="A152" s="59" t="s">
        <v>725</v>
      </c>
      <c r="B152" s="283"/>
      <c r="C152" s="7"/>
      <c r="D152" s="7"/>
      <c r="E152" s="294"/>
      <c r="F152" s="294"/>
      <c r="G152" s="286"/>
      <c r="H152" s="271"/>
      <c r="I152" s="271"/>
      <c r="J152" s="271"/>
      <c r="K152" s="271"/>
      <c r="L152" s="271"/>
      <c r="M152" s="271"/>
      <c r="N152" s="271"/>
      <c r="S152" s="271"/>
      <c r="T152" s="271"/>
      <c r="U152" s="271"/>
      <c r="V152" s="271"/>
      <c r="Z152" s="37">
        <v>220256</v>
      </c>
      <c r="AA152" s="64">
        <v>16345833</v>
      </c>
      <c r="AB152" s="27">
        <v>44804</v>
      </c>
      <c r="AC152" s="157">
        <v>42730</v>
      </c>
      <c r="AE152" s="42"/>
      <c r="AG152" s="155"/>
      <c r="AJ152" s="123"/>
      <c r="AK152" s="157"/>
      <c r="AM152" s="40"/>
    </row>
    <row r="153" spans="1:39" ht="15.75" customHeight="1" x14ac:dyDescent="0.25">
      <c r="A153" s="59" t="s">
        <v>725</v>
      </c>
      <c r="B153" s="283"/>
      <c r="C153" s="7"/>
      <c r="D153" s="7"/>
      <c r="E153" s="294"/>
      <c r="F153" s="294"/>
      <c r="G153" s="286"/>
      <c r="H153" s="271"/>
      <c r="I153" s="271"/>
      <c r="J153" s="271"/>
      <c r="K153" s="271"/>
      <c r="L153" s="271"/>
      <c r="M153" s="271"/>
      <c r="N153" s="271"/>
      <c r="S153" s="271"/>
      <c r="T153" s="271"/>
      <c r="U153" s="271"/>
      <c r="V153" s="271"/>
      <c r="Z153" s="37">
        <v>218262</v>
      </c>
      <c r="AA153" s="64">
        <v>16345833</v>
      </c>
      <c r="AB153" s="27">
        <v>44771</v>
      </c>
      <c r="AC153" s="157">
        <v>340400</v>
      </c>
      <c r="AE153" s="42"/>
      <c r="AG153" s="155"/>
      <c r="AJ153" s="123"/>
      <c r="AK153" s="157"/>
      <c r="AM153" s="40"/>
    </row>
    <row r="154" spans="1:39" ht="15.75" customHeight="1" x14ac:dyDescent="0.25">
      <c r="A154" s="59" t="s">
        <v>725</v>
      </c>
      <c r="B154" s="283"/>
      <c r="C154" s="7"/>
      <c r="D154" s="7"/>
      <c r="E154" s="294"/>
      <c r="F154" s="294"/>
      <c r="G154" s="286"/>
      <c r="H154" s="271"/>
      <c r="I154" s="271"/>
      <c r="J154" s="271"/>
      <c r="K154" s="271"/>
      <c r="L154" s="271"/>
      <c r="M154" s="271"/>
      <c r="N154" s="271"/>
      <c r="S154" s="271"/>
      <c r="T154" s="271"/>
      <c r="U154" s="271"/>
      <c r="V154" s="271"/>
      <c r="Z154" s="37">
        <v>218124</v>
      </c>
      <c r="AA154" s="64">
        <v>16345833</v>
      </c>
      <c r="AB154" s="27">
        <v>44770</v>
      </c>
      <c r="AC154" s="157">
        <v>67212.399999999994</v>
      </c>
      <c r="AE154" s="42"/>
      <c r="AG154" s="155"/>
      <c r="AJ154" s="123"/>
      <c r="AK154" s="157"/>
      <c r="AM154" s="40"/>
    </row>
    <row r="155" spans="1:39" ht="15.75" customHeight="1" x14ac:dyDescent="0.25">
      <c r="A155" s="59" t="s">
        <v>725</v>
      </c>
      <c r="B155" s="283"/>
      <c r="C155" s="7"/>
      <c r="D155" s="7"/>
      <c r="E155" s="294"/>
      <c r="F155" s="294"/>
      <c r="G155" s="286"/>
      <c r="H155" s="271"/>
      <c r="I155" s="271"/>
      <c r="J155" s="271"/>
      <c r="K155" s="271"/>
      <c r="L155" s="271"/>
      <c r="M155" s="271"/>
      <c r="N155" s="271"/>
      <c r="S155" s="271"/>
      <c r="T155" s="271"/>
      <c r="U155" s="271"/>
      <c r="V155" s="271"/>
      <c r="Z155" s="37">
        <v>217913</v>
      </c>
      <c r="AA155" s="64">
        <v>16345833</v>
      </c>
      <c r="AB155" s="27">
        <v>44767</v>
      </c>
      <c r="AC155" s="157">
        <v>915831.1</v>
      </c>
      <c r="AE155" s="42"/>
      <c r="AG155" s="155"/>
      <c r="AJ155" s="123"/>
      <c r="AK155" s="157"/>
      <c r="AM155" s="40"/>
    </row>
    <row r="156" spans="1:39" ht="15.75" customHeight="1" x14ac:dyDescent="0.25">
      <c r="A156" s="59" t="s">
        <v>725</v>
      </c>
      <c r="B156" s="283"/>
      <c r="C156" s="7"/>
      <c r="D156" s="7"/>
      <c r="E156" s="294"/>
      <c r="F156" s="294"/>
      <c r="G156" s="286"/>
      <c r="H156" s="271"/>
      <c r="I156" s="271"/>
      <c r="J156" s="271"/>
      <c r="K156" s="271"/>
      <c r="L156" s="271"/>
      <c r="M156" s="271"/>
      <c r="N156" s="271"/>
      <c r="S156" s="271"/>
      <c r="T156" s="271"/>
      <c r="U156" s="271"/>
      <c r="V156" s="271"/>
      <c r="Z156" s="37">
        <v>216989</v>
      </c>
      <c r="AA156" s="64">
        <v>16345833</v>
      </c>
      <c r="AB156" s="27">
        <v>44747</v>
      </c>
      <c r="AC156" s="157">
        <v>128481</v>
      </c>
      <c r="AE156" s="42"/>
      <c r="AG156" s="155"/>
      <c r="AJ156" s="123"/>
      <c r="AK156" s="157"/>
      <c r="AM156" s="40"/>
    </row>
    <row r="157" spans="1:39" ht="15.75" customHeight="1" x14ac:dyDescent="0.25">
      <c r="A157" s="59" t="s">
        <v>725</v>
      </c>
      <c r="B157" s="283"/>
      <c r="C157" s="7"/>
      <c r="D157" s="7"/>
      <c r="E157" s="294"/>
      <c r="F157" s="294"/>
      <c r="G157" s="286"/>
      <c r="H157" s="271"/>
      <c r="I157" s="271"/>
      <c r="J157" s="271"/>
      <c r="K157" s="271"/>
      <c r="L157" s="271"/>
      <c r="M157" s="271"/>
      <c r="N157" s="271"/>
      <c r="S157" s="271"/>
      <c r="T157" s="271"/>
      <c r="U157" s="271"/>
      <c r="V157" s="271"/>
      <c r="Z157" s="37">
        <v>216051</v>
      </c>
      <c r="AA157" s="64">
        <v>16345833</v>
      </c>
      <c r="AB157" s="27">
        <v>44736</v>
      </c>
      <c r="AC157" s="157">
        <v>45041.8</v>
      </c>
      <c r="AE157" s="42"/>
      <c r="AG157" s="155"/>
      <c r="AJ157" s="123"/>
      <c r="AK157" s="157"/>
      <c r="AM157" s="40"/>
    </row>
    <row r="158" spans="1:39" ht="15.75" customHeight="1" x14ac:dyDescent="0.25">
      <c r="A158" s="59" t="s">
        <v>725</v>
      </c>
      <c r="B158" s="283"/>
      <c r="C158" s="7"/>
      <c r="D158" s="7"/>
      <c r="E158" s="294"/>
      <c r="F158" s="294"/>
      <c r="G158" s="286"/>
      <c r="H158" s="271"/>
      <c r="I158" s="271"/>
      <c r="J158" s="271"/>
      <c r="K158" s="271"/>
      <c r="L158" s="271"/>
      <c r="M158" s="271"/>
      <c r="N158" s="271"/>
      <c r="S158" s="271"/>
      <c r="T158" s="271"/>
      <c r="U158" s="271"/>
      <c r="V158" s="271"/>
      <c r="Z158" s="37">
        <v>227497</v>
      </c>
      <c r="AA158" s="64">
        <v>18233232</v>
      </c>
      <c r="AB158" s="27">
        <v>44914</v>
      </c>
      <c r="AC158" s="157">
        <v>33900</v>
      </c>
      <c r="AE158" s="42"/>
      <c r="AG158" s="155"/>
      <c r="AJ158" s="123"/>
      <c r="AK158" s="157"/>
      <c r="AM158" s="40"/>
    </row>
    <row r="159" spans="1:39" ht="15.75" customHeight="1" x14ac:dyDescent="0.25">
      <c r="A159" s="59" t="s">
        <v>725</v>
      </c>
      <c r="B159" s="284"/>
      <c r="C159" s="43"/>
      <c r="D159" s="43"/>
      <c r="E159" s="291"/>
      <c r="F159" s="291"/>
      <c r="G159" s="287"/>
      <c r="H159" s="279"/>
      <c r="I159" s="279"/>
      <c r="J159" s="279"/>
      <c r="K159" s="279"/>
      <c r="L159" s="279"/>
      <c r="M159" s="279"/>
      <c r="N159" s="279"/>
      <c r="O159" s="44"/>
      <c r="P159" s="44"/>
      <c r="Q159" s="44"/>
      <c r="R159" s="44"/>
      <c r="S159" s="279"/>
      <c r="T159" s="279"/>
      <c r="U159" s="279"/>
      <c r="V159" s="279"/>
      <c r="W159" s="44"/>
      <c r="X159" s="44"/>
      <c r="Y159" s="44"/>
      <c r="Z159" s="44"/>
      <c r="AA159" s="121"/>
      <c r="AB159" s="47"/>
      <c r="AC159" s="158"/>
      <c r="AD159" s="44"/>
      <c r="AE159" s="46"/>
      <c r="AF159" s="44"/>
      <c r="AG159" s="153"/>
      <c r="AH159" s="55"/>
      <c r="AI159" s="44"/>
      <c r="AJ159" s="75"/>
      <c r="AK159" s="158"/>
      <c r="AL159" s="44"/>
      <c r="AM159" s="48"/>
    </row>
    <row r="160" spans="1:39" ht="15.75" customHeight="1" x14ac:dyDescent="0.25">
      <c r="A160" s="59" t="s">
        <v>725</v>
      </c>
      <c r="B160" s="282" t="s">
        <v>175</v>
      </c>
      <c r="C160" s="33"/>
      <c r="D160" s="33"/>
      <c r="E160" s="289" t="s">
        <v>34</v>
      </c>
      <c r="F160" s="289" t="s">
        <v>35</v>
      </c>
      <c r="G160" s="285">
        <v>100</v>
      </c>
      <c r="H160" s="280">
        <v>44562</v>
      </c>
      <c r="I160" s="278">
        <v>17148269</v>
      </c>
      <c r="J160" s="10">
        <v>300</v>
      </c>
      <c r="K160" s="272">
        <v>14850</v>
      </c>
      <c r="L160" s="280">
        <v>44873</v>
      </c>
      <c r="M160" s="278">
        <v>30</v>
      </c>
      <c r="N160" s="280">
        <f>L160+M160</f>
        <v>44903</v>
      </c>
      <c r="O160" s="278" t="s">
        <v>176</v>
      </c>
      <c r="P160" s="278">
        <v>17256727</v>
      </c>
      <c r="Q160" s="278" t="s">
        <v>176</v>
      </c>
      <c r="R160" s="278">
        <v>17256727</v>
      </c>
      <c r="S160" s="278">
        <v>17788731</v>
      </c>
      <c r="T160" s="280">
        <v>44909</v>
      </c>
      <c r="U160" s="278">
        <v>17789031</v>
      </c>
      <c r="V160" s="280">
        <v>44911</v>
      </c>
      <c r="W160" s="49"/>
      <c r="X160" s="49"/>
      <c r="Y160" s="49"/>
      <c r="Z160" s="35">
        <v>43</v>
      </c>
      <c r="AA160" s="60">
        <v>17785886</v>
      </c>
      <c r="AB160" s="9">
        <v>44908</v>
      </c>
      <c r="AC160" s="156">
        <v>1350</v>
      </c>
      <c r="AD160" s="11" t="s">
        <v>177</v>
      </c>
      <c r="AE160" s="56">
        <v>17115375</v>
      </c>
      <c r="AF160" s="57">
        <v>44865</v>
      </c>
      <c r="AG160" s="152">
        <v>14850</v>
      </c>
      <c r="AH160" s="11" t="s">
        <v>178</v>
      </c>
      <c r="AI160" s="11">
        <v>18043784</v>
      </c>
      <c r="AJ160" s="9">
        <v>44918</v>
      </c>
      <c r="AK160" s="152">
        <v>14850</v>
      </c>
      <c r="AL160" s="49"/>
      <c r="AM160" s="36" t="s">
        <v>179</v>
      </c>
    </row>
    <row r="161" spans="1:39" ht="15.75" customHeight="1" x14ac:dyDescent="0.25">
      <c r="A161" s="59" t="s">
        <v>725</v>
      </c>
      <c r="B161" s="283"/>
      <c r="C161" s="7"/>
      <c r="D161" s="7"/>
      <c r="E161" s="294"/>
      <c r="F161" s="294"/>
      <c r="G161" s="286"/>
      <c r="H161" s="271"/>
      <c r="I161" s="271"/>
      <c r="J161" s="28">
        <v>30</v>
      </c>
      <c r="K161" s="271"/>
      <c r="L161" s="271"/>
      <c r="M161" s="271"/>
      <c r="N161" s="271"/>
      <c r="O161" s="271"/>
      <c r="P161" s="271"/>
      <c r="Q161" s="271"/>
      <c r="R161" s="271"/>
      <c r="S161" s="271"/>
      <c r="T161" s="271"/>
      <c r="U161" s="271"/>
      <c r="V161" s="271"/>
      <c r="Z161" s="37">
        <v>42</v>
      </c>
      <c r="AA161" s="62">
        <v>17785886</v>
      </c>
      <c r="AB161" s="27">
        <v>44908</v>
      </c>
      <c r="AC161" s="157">
        <v>13500</v>
      </c>
      <c r="AD161" s="26" t="s">
        <v>180</v>
      </c>
      <c r="AE161" s="42">
        <v>17302381</v>
      </c>
      <c r="AF161" s="59">
        <v>44876</v>
      </c>
      <c r="AG161" s="155">
        <v>1350</v>
      </c>
      <c r="AH161" s="200" t="s">
        <v>842</v>
      </c>
      <c r="AI161">
        <v>20334210</v>
      </c>
      <c r="AJ161" s="123">
        <v>45015</v>
      </c>
      <c r="AK161" s="157">
        <v>34</v>
      </c>
      <c r="AM161" s="263" t="s">
        <v>843</v>
      </c>
    </row>
    <row r="162" spans="1:39" ht="15.75" customHeight="1" x14ac:dyDescent="0.25">
      <c r="A162" s="59" t="s">
        <v>725</v>
      </c>
      <c r="B162" s="284"/>
      <c r="C162" s="43"/>
      <c r="D162" s="43"/>
      <c r="E162" s="291"/>
      <c r="F162" s="291"/>
      <c r="G162" s="287"/>
      <c r="H162" s="279"/>
      <c r="I162" s="279"/>
      <c r="J162" s="45"/>
      <c r="K162" s="279"/>
      <c r="L162" s="279"/>
      <c r="M162" s="279"/>
      <c r="N162" s="279"/>
      <c r="O162" s="279"/>
      <c r="P162" s="279"/>
      <c r="Q162" s="279"/>
      <c r="R162" s="279"/>
      <c r="S162" s="279"/>
      <c r="T162" s="279"/>
      <c r="U162" s="279"/>
      <c r="V162" s="279"/>
      <c r="W162" s="44"/>
      <c r="X162" s="44"/>
      <c r="Y162" s="44"/>
      <c r="Z162" s="55"/>
      <c r="AA162" s="125"/>
      <c r="AB162" s="47"/>
      <c r="AC162" s="158"/>
      <c r="AD162" s="14" t="s">
        <v>181</v>
      </c>
      <c r="AE162" s="46">
        <v>17828180</v>
      </c>
      <c r="AF162" s="75">
        <v>44911</v>
      </c>
      <c r="AG162" s="153">
        <v>1350</v>
      </c>
      <c r="AH162" s="200" t="s">
        <v>844</v>
      </c>
      <c r="AI162" s="44">
        <v>19409121</v>
      </c>
      <c r="AJ162" s="75">
        <v>45012</v>
      </c>
      <c r="AK162" s="158">
        <v>1350</v>
      </c>
      <c r="AL162" s="44"/>
      <c r="AM162" s="264" t="s">
        <v>129</v>
      </c>
    </row>
    <row r="163" spans="1:39" ht="15.75" customHeight="1" x14ac:dyDescent="0.25">
      <c r="A163" s="59" t="s">
        <v>725</v>
      </c>
      <c r="B163" s="282" t="s">
        <v>182</v>
      </c>
      <c r="C163" s="76"/>
      <c r="D163" s="76"/>
      <c r="E163" s="289" t="s">
        <v>34</v>
      </c>
      <c r="F163" s="289" t="s">
        <v>35</v>
      </c>
      <c r="G163" s="285">
        <v>23</v>
      </c>
      <c r="H163" s="280">
        <v>44927</v>
      </c>
      <c r="I163" s="278">
        <v>19875585</v>
      </c>
      <c r="J163" s="297">
        <v>611697</v>
      </c>
      <c r="K163" s="297">
        <v>611697</v>
      </c>
      <c r="L163" s="280">
        <v>45044</v>
      </c>
      <c r="M163" s="278">
        <v>30</v>
      </c>
      <c r="N163" s="280">
        <f>L163+M163</f>
        <v>45074</v>
      </c>
      <c r="O163" s="278" t="s">
        <v>140</v>
      </c>
      <c r="P163" s="278">
        <v>19942052</v>
      </c>
      <c r="Q163" s="278" t="s">
        <v>140</v>
      </c>
      <c r="R163" s="278">
        <v>19942052</v>
      </c>
      <c r="S163" s="278">
        <v>20214036</v>
      </c>
      <c r="T163" s="280">
        <v>45063</v>
      </c>
      <c r="U163" s="278">
        <v>20216006</v>
      </c>
      <c r="V163" s="280">
        <v>45064</v>
      </c>
      <c r="W163" s="49"/>
      <c r="X163" s="49"/>
      <c r="Y163" s="49"/>
      <c r="Z163" s="35">
        <v>30</v>
      </c>
      <c r="AA163" s="60">
        <v>20253074</v>
      </c>
      <c r="AB163" s="9">
        <v>45054</v>
      </c>
      <c r="AC163" s="156">
        <v>44000</v>
      </c>
      <c r="AD163" s="11" t="s">
        <v>183</v>
      </c>
      <c r="AE163" s="56">
        <v>19807947</v>
      </c>
      <c r="AF163" s="57">
        <v>45040</v>
      </c>
      <c r="AG163" s="152">
        <v>611697</v>
      </c>
      <c r="AH163" s="35" t="s">
        <v>184</v>
      </c>
      <c r="AI163" s="49">
        <v>20484472</v>
      </c>
      <c r="AJ163" s="57">
        <v>45072</v>
      </c>
      <c r="AK163" s="156">
        <v>79750</v>
      </c>
      <c r="AL163" s="49"/>
      <c r="AM163" s="36" t="s">
        <v>129</v>
      </c>
    </row>
    <row r="164" spans="1:39" ht="15.75" customHeight="1" x14ac:dyDescent="0.25">
      <c r="A164" s="59" t="s">
        <v>725</v>
      </c>
      <c r="B164" s="283"/>
      <c r="C164" s="7"/>
      <c r="D164" s="7"/>
      <c r="E164" s="294"/>
      <c r="F164" s="294"/>
      <c r="G164" s="286"/>
      <c r="H164" s="271"/>
      <c r="I164" s="271"/>
      <c r="J164" s="271"/>
      <c r="K164" s="271"/>
      <c r="L164" s="271"/>
      <c r="M164" s="271"/>
      <c r="N164" s="271"/>
      <c r="O164" s="271"/>
      <c r="P164" s="271"/>
      <c r="Q164" s="271"/>
      <c r="R164" s="271"/>
      <c r="S164" s="271"/>
      <c r="T164" s="271"/>
      <c r="U164" s="271"/>
      <c r="V164" s="271"/>
      <c r="Z164" s="37">
        <v>32</v>
      </c>
      <c r="AA164" s="62">
        <v>20253074</v>
      </c>
      <c r="AB164" s="27">
        <v>45057</v>
      </c>
      <c r="AC164" s="157">
        <v>15750</v>
      </c>
      <c r="AD164" s="26" t="s">
        <v>185</v>
      </c>
      <c r="AE164" s="42">
        <v>24010889</v>
      </c>
      <c r="AF164" s="59">
        <v>45281</v>
      </c>
      <c r="AG164" s="155">
        <v>152924.25</v>
      </c>
      <c r="AH164" s="169" t="s">
        <v>186</v>
      </c>
      <c r="AI164" s="58">
        <v>20637806</v>
      </c>
      <c r="AJ164" s="59">
        <v>45084</v>
      </c>
      <c r="AK164" s="157">
        <v>65000</v>
      </c>
      <c r="AM164" s="40" t="s">
        <v>129</v>
      </c>
    </row>
    <row r="165" spans="1:39" ht="15.75" customHeight="1" x14ac:dyDescent="0.25">
      <c r="A165" s="59" t="s">
        <v>725</v>
      </c>
      <c r="B165" s="283"/>
      <c r="C165" s="7"/>
      <c r="D165" s="7"/>
      <c r="E165" s="294"/>
      <c r="F165" s="294"/>
      <c r="G165" s="286"/>
      <c r="H165" s="271"/>
      <c r="I165" s="271"/>
      <c r="J165" s="271"/>
      <c r="K165" s="271"/>
      <c r="L165" s="271"/>
      <c r="M165" s="271"/>
      <c r="N165" s="271"/>
      <c r="O165" s="271"/>
      <c r="P165" s="271"/>
      <c r="Q165" s="271"/>
      <c r="R165" s="271"/>
      <c r="S165" s="271"/>
      <c r="T165" s="271"/>
      <c r="U165" s="271"/>
      <c r="V165" s="271"/>
      <c r="Z165" s="37">
        <v>34</v>
      </c>
      <c r="AA165" s="62">
        <v>20253074</v>
      </c>
      <c r="AB165" s="27">
        <v>45058</v>
      </c>
      <c r="AC165" s="157">
        <v>6500</v>
      </c>
      <c r="AE165" s="42"/>
      <c r="AG165" s="155"/>
      <c r="AH165" s="169" t="s">
        <v>187</v>
      </c>
      <c r="AI165" s="58">
        <v>21274931</v>
      </c>
      <c r="AJ165" s="59">
        <v>45119</v>
      </c>
      <c r="AK165" s="157">
        <v>39000</v>
      </c>
      <c r="AM165" s="40" t="s">
        <v>129</v>
      </c>
    </row>
    <row r="166" spans="1:39" ht="15.75" customHeight="1" x14ac:dyDescent="0.25">
      <c r="A166" s="59" t="s">
        <v>725</v>
      </c>
      <c r="B166" s="283"/>
      <c r="C166" s="7"/>
      <c r="D166" s="7"/>
      <c r="E166" s="294"/>
      <c r="F166" s="294"/>
      <c r="G166" s="286"/>
      <c r="H166" s="271"/>
      <c r="I166" s="271"/>
      <c r="J166" s="271"/>
      <c r="K166" s="271"/>
      <c r="L166" s="271"/>
      <c r="M166" s="271"/>
      <c r="N166" s="271"/>
      <c r="O166" s="271"/>
      <c r="P166" s="271"/>
      <c r="Q166" s="271"/>
      <c r="R166" s="271"/>
      <c r="S166" s="271"/>
      <c r="T166" s="271"/>
      <c r="U166" s="271"/>
      <c r="V166" s="271"/>
      <c r="Z166" s="37">
        <v>35</v>
      </c>
      <c r="AA166" s="62">
        <v>20253074</v>
      </c>
      <c r="AB166" s="27">
        <v>45061</v>
      </c>
      <c r="AC166" s="157">
        <v>13500</v>
      </c>
      <c r="AE166" s="42"/>
      <c r="AG166" s="155"/>
      <c r="AH166" s="169" t="s">
        <v>188</v>
      </c>
      <c r="AI166" s="58">
        <v>21376092</v>
      </c>
      <c r="AJ166" s="59">
        <v>45114</v>
      </c>
      <c r="AK166" s="157">
        <v>13967.14</v>
      </c>
      <c r="AM166" s="40" t="s">
        <v>129</v>
      </c>
    </row>
    <row r="167" spans="1:39" ht="15.75" customHeight="1" x14ac:dyDescent="0.25">
      <c r="A167" s="59" t="s">
        <v>725</v>
      </c>
      <c r="B167" s="283"/>
      <c r="C167" s="7"/>
      <c r="D167" s="7"/>
      <c r="E167" s="294"/>
      <c r="F167" s="294"/>
      <c r="G167" s="286"/>
      <c r="H167" s="271"/>
      <c r="I167" s="271"/>
      <c r="J167" s="271"/>
      <c r="K167" s="271"/>
      <c r="L167" s="271"/>
      <c r="M167" s="271"/>
      <c r="N167" s="271"/>
      <c r="O167" s="271"/>
      <c r="P167" s="271"/>
      <c r="Q167" s="271"/>
      <c r="R167" s="271"/>
      <c r="S167" s="271"/>
      <c r="T167" s="271"/>
      <c r="U167" s="271"/>
      <c r="V167" s="271"/>
      <c r="Z167" s="37">
        <v>39</v>
      </c>
      <c r="AA167" s="62">
        <v>20492395</v>
      </c>
      <c r="AB167" s="38">
        <v>45065</v>
      </c>
      <c r="AC167" s="157">
        <v>65000</v>
      </c>
      <c r="AE167" s="42"/>
      <c r="AG167" s="155"/>
      <c r="AH167" s="169" t="s">
        <v>189</v>
      </c>
      <c r="AI167" s="58">
        <v>23353641</v>
      </c>
      <c r="AJ167" s="59">
        <v>45112</v>
      </c>
      <c r="AK167" s="157">
        <v>18532.86</v>
      </c>
      <c r="AM167" s="40" t="s">
        <v>129</v>
      </c>
    </row>
    <row r="168" spans="1:39" ht="15.75" customHeight="1" x14ac:dyDescent="0.25">
      <c r="A168" s="59" t="s">
        <v>725</v>
      </c>
      <c r="B168" s="283"/>
      <c r="C168" s="7"/>
      <c r="D168" s="7"/>
      <c r="E168" s="294"/>
      <c r="F168" s="294"/>
      <c r="G168" s="286"/>
      <c r="H168" s="271"/>
      <c r="I168" s="271"/>
      <c r="J168" s="271"/>
      <c r="K168" s="271"/>
      <c r="L168" s="271"/>
      <c r="M168" s="271"/>
      <c r="N168" s="271"/>
      <c r="O168" s="271"/>
      <c r="P168" s="271"/>
      <c r="Q168" s="271"/>
      <c r="R168" s="271"/>
      <c r="S168" s="271"/>
      <c r="T168" s="271"/>
      <c r="U168" s="271"/>
      <c r="V168" s="271"/>
      <c r="Z168" s="37">
        <v>40</v>
      </c>
      <c r="AA168" s="62">
        <v>21308348</v>
      </c>
      <c r="AB168" s="27">
        <v>45072</v>
      </c>
      <c r="AC168" s="157">
        <v>32500</v>
      </c>
      <c r="AE168" s="42"/>
      <c r="AG168" s="155"/>
      <c r="AH168" s="169" t="s">
        <v>190</v>
      </c>
      <c r="AI168" s="58">
        <v>21376224</v>
      </c>
      <c r="AJ168" s="59">
        <v>45114</v>
      </c>
      <c r="AK168" s="157">
        <v>32500</v>
      </c>
      <c r="AM168" s="40" t="s">
        <v>129</v>
      </c>
    </row>
    <row r="169" spans="1:39" ht="15.75" customHeight="1" x14ac:dyDescent="0.25">
      <c r="A169" s="59" t="s">
        <v>725</v>
      </c>
      <c r="B169" s="283"/>
      <c r="C169" s="7"/>
      <c r="D169" s="7"/>
      <c r="E169" s="294"/>
      <c r="F169" s="294"/>
      <c r="G169" s="286"/>
      <c r="H169" s="271"/>
      <c r="I169" s="271"/>
      <c r="J169" s="271"/>
      <c r="K169" s="271"/>
      <c r="L169" s="271"/>
      <c r="M169" s="271"/>
      <c r="N169" s="271"/>
      <c r="O169" s="271"/>
      <c r="P169" s="271"/>
      <c r="Q169" s="271"/>
      <c r="R169" s="271"/>
      <c r="S169" s="271"/>
      <c r="T169" s="271"/>
      <c r="U169" s="271"/>
      <c r="V169" s="271"/>
      <c r="Z169" s="37">
        <v>42</v>
      </c>
      <c r="AA169" s="62">
        <v>20736849</v>
      </c>
      <c r="AB169" s="27">
        <v>45079</v>
      </c>
      <c r="AC169" s="155">
        <v>32500</v>
      </c>
      <c r="AE169" s="42"/>
      <c r="AG169" s="155"/>
      <c r="AH169" s="169" t="s">
        <v>191</v>
      </c>
      <c r="AI169" s="58">
        <v>21822501</v>
      </c>
      <c r="AJ169" s="59">
        <v>45140</v>
      </c>
      <c r="AK169" s="157">
        <v>58500</v>
      </c>
      <c r="AM169" s="40" t="s">
        <v>129</v>
      </c>
    </row>
    <row r="170" spans="1:39" ht="15.75" customHeight="1" x14ac:dyDescent="0.25">
      <c r="A170" s="59" t="s">
        <v>725</v>
      </c>
      <c r="B170" s="283"/>
      <c r="C170" s="7"/>
      <c r="D170" s="7"/>
      <c r="E170" s="294"/>
      <c r="F170" s="294"/>
      <c r="G170" s="286"/>
      <c r="H170" s="271"/>
      <c r="I170" s="271"/>
      <c r="J170" s="271"/>
      <c r="K170" s="271"/>
      <c r="L170" s="271"/>
      <c r="M170" s="271"/>
      <c r="N170" s="271"/>
      <c r="O170" s="271"/>
      <c r="P170" s="271"/>
      <c r="Q170" s="271"/>
      <c r="R170" s="271"/>
      <c r="S170" s="271"/>
      <c r="T170" s="271"/>
      <c r="U170" s="271"/>
      <c r="V170" s="271"/>
      <c r="Z170" s="37">
        <v>43</v>
      </c>
      <c r="AA170" s="62">
        <v>20736877</v>
      </c>
      <c r="AB170" s="27">
        <v>45089</v>
      </c>
      <c r="AC170" s="155">
        <v>32500</v>
      </c>
      <c r="AE170" s="42"/>
      <c r="AG170" s="155"/>
      <c r="AH170" s="169" t="s">
        <v>192</v>
      </c>
      <c r="AI170" s="58">
        <v>21822570</v>
      </c>
      <c r="AJ170" s="59">
        <v>45140</v>
      </c>
      <c r="AK170" s="157">
        <v>20250</v>
      </c>
      <c r="AM170" s="40" t="s">
        <v>129</v>
      </c>
    </row>
    <row r="171" spans="1:39" ht="15.75" customHeight="1" x14ac:dyDescent="0.25">
      <c r="A171" s="59" t="s">
        <v>725</v>
      </c>
      <c r="B171" s="283"/>
      <c r="C171" s="7"/>
      <c r="D171" s="7"/>
      <c r="E171" s="294"/>
      <c r="F171" s="294"/>
      <c r="G171" s="286"/>
      <c r="H171" s="271"/>
      <c r="I171" s="271"/>
      <c r="J171" s="271"/>
      <c r="K171" s="271"/>
      <c r="L171" s="271"/>
      <c r="M171" s="271"/>
      <c r="N171" s="271"/>
      <c r="O171" s="271"/>
      <c r="P171" s="271"/>
      <c r="Q171" s="271"/>
      <c r="R171" s="271"/>
      <c r="S171" s="271"/>
      <c r="T171" s="271"/>
      <c r="U171" s="271"/>
      <c r="V171" s="271"/>
      <c r="Z171" s="37">
        <v>44</v>
      </c>
      <c r="AA171" s="62">
        <v>21264742</v>
      </c>
      <c r="AB171" s="27">
        <v>45103</v>
      </c>
      <c r="AC171" s="157">
        <v>58500</v>
      </c>
      <c r="AE171" s="42"/>
      <c r="AG171" s="155"/>
      <c r="AH171" s="169" t="s">
        <v>193</v>
      </c>
      <c r="AI171" s="58">
        <v>21966321</v>
      </c>
      <c r="AJ171" s="59">
        <v>45162</v>
      </c>
      <c r="AK171" s="157">
        <v>32500</v>
      </c>
      <c r="AM171" s="40" t="s">
        <v>129</v>
      </c>
    </row>
    <row r="172" spans="1:39" ht="15.75" customHeight="1" x14ac:dyDescent="0.25">
      <c r="A172" s="59" t="s">
        <v>725</v>
      </c>
      <c r="B172" s="283"/>
      <c r="C172" s="7"/>
      <c r="D172" s="7"/>
      <c r="E172" s="294"/>
      <c r="F172" s="294"/>
      <c r="G172" s="286"/>
      <c r="H172" s="271"/>
      <c r="I172" s="271"/>
      <c r="J172" s="271"/>
      <c r="K172" s="271"/>
      <c r="L172" s="271"/>
      <c r="M172" s="271"/>
      <c r="N172" s="271"/>
      <c r="O172" s="271"/>
      <c r="P172" s="271"/>
      <c r="Q172" s="271"/>
      <c r="R172" s="271"/>
      <c r="S172" s="271"/>
      <c r="T172" s="271"/>
      <c r="U172" s="271"/>
      <c r="V172" s="271"/>
      <c r="Z172" s="37">
        <v>46</v>
      </c>
      <c r="AA172" s="62">
        <v>21105252</v>
      </c>
      <c r="AB172" s="38">
        <v>45113</v>
      </c>
      <c r="AC172" s="157">
        <v>39000</v>
      </c>
      <c r="AE172" s="42"/>
      <c r="AG172" s="155"/>
      <c r="AH172" s="169" t="s">
        <v>194</v>
      </c>
      <c r="AI172" s="58">
        <v>21966382</v>
      </c>
      <c r="AJ172" s="59">
        <v>45162</v>
      </c>
      <c r="AK172" s="157">
        <v>99710</v>
      </c>
      <c r="AM172" s="40" t="s">
        <v>129</v>
      </c>
    </row>
    <row r="173" spans="1:39" ht="15.75" customHeight="1" x14ac:dyDescent="0.25">
      <c r="A173" s="59" t="s">
        <v>725</v>
      </c>
      <c r="B173" s="283"/>
      <c r="C173" s="7"/>
      <c r="D173" s="7"/>
      <c r="E173" s="294"/>
      <c r="F173" s="294"/>
      <c r="G173" s="286"/>
      <c r="H173" s="271"/>
      <c r="I173" s="271"/>
      <c r="J173" s="271"/>
      <c r="K173" s="271"/>
      <c r="L173" s="271"/>
      <c r="M173" s="271"/>
      <c r="N173" s="271"/>
      <c r="O173" s="271"/>
      <c r="P173" s="271"/>
      <c r="Q173" s="271"/>
      <c r="R173" s="271"/>
      <c r="S173" s="271"/>
      <c r="T173" s="271"/>
      <c r="U173" s="271"/>
      <c r="V173" s="271"/>
      <c r="Z173" s="37">
        <v>48</v>
      </c>
      <c r="AA173" s="62">
        <v>21265079</v>
      </c>
      <c r="AB173" s="38">
        <v>45124</v>
      </c>
      <c r="AC173" s="157">
        <v>20250</v>
      </c>
      <c r="AE173" s="42"/>
      <c r="AG173" s="155"/>
      <c r="AH173" s="169" t="s">
        <v>195</v>
      </c>
      <c r="AI173" s="58">
        <v>23106615</v>
      </c>
      <c r="AJ173" s="59">
        <v>45223</v>
      </c>
      <c r="AK173" s="157">
        <v>20250</v>
      </c>
      <c r="AM173" s="40" t="s">
        <v>129</v>
      </c>
    </row>
    <row r="174" spans="1:39" ht="15.75" customHeight="1" x14ac:dyDescent="0.25">
      <c r="A174" s="59" t="s">
        <v>725</v>
      </c>
      <c r="B174" s="283"/>
      <c r="C174" s="7"/>
      <c r="D174" s="7"/>
      <c r="E174" s="294"/>
      <c r="F174" s="294"/>
      <c r="G174" s="286"/>
      <c r="H174" s="271"/>
      <c r="I174" s="271"/>
      <c r="J174" s="271"/>
      <c r="K174" s="271"/>
      <c r="L174" s="271"/>
      <c r="M174" s="271"/>
      <c r="N174" s="271"/>
      <c r="O174" s="271"/>
      <c r="P174" s="271"/>
      <c r="Q174" s="271"/>
      <c r="R174" s="271"/>
      <c r="S174" s="271"/>
      <c r="T174" s="271"/>
      <c r="U174" s="271"/>
      <c r="V174" s="271"/>
      <c r="Z174" s="37">
        <v>50</v>
      </c>
      <c r="AA174" s="62">
        <v>21706650</v>
      </c>
      <c r="AB174" s="27">
        <v>45147</v>
      </c>
      <c r="AC174" s="157">
        <v>99710</v>
      </c>
      <c r="AE174" s="42"/>
      <c r="AG174" s="155"/>
      <c r="AH174" s="169" t="s">
        <v>196</v>
      </c>
      <c r="AI174" s="58">
        <v>23106645</v>
      </c>
      <c r="AJ174" s="59">
        <v>45223</v>
      </c>
      <c r="AK174" s="157">
        <v>128552</v>
      </c>
      <c r="AM174" s="40" t="s">
        <v>129</v>
      </c>
    </row>
    <row r="175" spans="1:39" ht="15.75" customHeight="1" x14ac:dyDescent="0.25">
      <c r="A175" s="59" t="s">
        <v>725</v>
      </c>
      <c r="B175" s="283"/>
      <c r="C175" s="7"/>
      <c r="D175" s="7"/>
      <c r="E175" s="294"/>
      <c r="F175" s="294"/>
      <c r="G175" s="286"/>
      <c r="H175" s="271"/>
      <c r="I175" s="271"/>
      <c r="J175" s="271"/>
      <c r="K175" s="271"/>
      <c r="L175" s="271"/>
      <c r="M175" s="271"/>
      <c r="N175" s="271"/>
      <c r="O175" s="271"/>
      <c r="P175" s="271"/>
      <c r="Q175" s="271"/>
      <c r="R175" s="271"/>
      <c r="S175" s="271"/>
      <c r="T175" s="271"/>
      <c r="U175" s="271"/>
      <c r="V175" s="271"/>
      <c r="Z175" s="37">
        <v>51</v>
      </c>
      <c r="AA175" s="62">
        <v>21935586</v>
      </c>
      <c r="AB175" s="27">
        <v>45161</v>
      </c>
      <c r="AC175" s="157">
        <v>20250</v>
      </c>
      <c r="AE175" s="42"/>
      <c r="AG175" s="155"/>
      <c r="AJ175" s="123"/>
      <c r="AK175" s="157"/>
      <c r="AM175" s="40"/>
    </row>
    <row r="176" spans="1:39" ht="15.75" customHeight="1" x14ac:dyDescent="0.25">
      <c r="A176" s="59" t="s">
        <v>725</v>
      </c>
      <c r="B176" s="283"/>
      <c r="C176" s="7"/>
      <c r="D176" s="7"/>
      <c r="E176" s="294"/>
      <c r="F176" s="294"/>
      <c r="G176" s="286"/>
      <c r="H176" s="271"/>
      <c r="I176" s="271"/>
      <c r="J176" s="271"/>
      <c r="K176" s="271"/>
      <c r="L176" s="271"/>
      <c r="M176" s="271"/>
      <c r="N176" s="271"/>
      <c r="O176" s="271"/>
      <c r="P176" s="271"/>
      <c r="Q176" s="271"/>
      <c r="R176" s="271"/>
      <c r="S176" s="271"/>
      <c r="T176" s="271"/>
      <c r="U176" s="271"/>
      <c r="V176" s="271"/>
      <c r="Z176" s="37">
        <v>54</v>
      </c>
      <c r="AA176" s="64">
        <v>22731763</v>
      </c>
      <c r="AB176" s="27">
        <v>45191</v>
      </c>
      <c r="AC176" s="157">
        <v>128552</v>
      </c>
      <c r="AE176" s="42"/>
      <c r="AG176" s="155"/>
      <c r="AJ176" s="123"/>
      <c r="AK176" s="157"/>
      <c r="AM176" s="40"/>
    </row>
    <row r="177" spans="1:39" ht="15.75" customHeight="1" x14ac:dyDescent="0.25">
      <c r="A177" s="59" t="s">
        <v>725</v>
      </c>
      <c r="B177" s="284"/>
      <c r="C177" s="43"/>
      <c r="D177" s="43"/>
      <c r="E177" s="291"/>
      <c r="F177" s="291"/>
      <c r="G177" s="287"/>
      <c r="H177" s="279"/>
      <c r="I177" s="279"/>
      <c r="J177" s="279"/>
      <c r="K177" s="279"/>
      <c r="L177" s="279"/>
      <c r="M177" s="279"/>
      <c r="N177" s="279"/>
      <c r="O177" s="279"/>
      <c r="P177" s="279"/>
      <c r="Q177" s="279"/>
      <c r="R177" s="279"/>
      <c r="S177" s="279"/>
      <c r="T177" s="279"/>
      <c r="U177" s="279"/>
      <c r="V177" s="279"/>
      <c r="W177" s="44"/>
      <c r="X177" s="44"/>
      <c r="Y177" s="44"/>
      <c r="Z177" s="55">
        <v>66</v>
      </c>
      <c r="AA177" s="121">
        <v>24138217</v>
      </c>
      <c r="AB177" s="15">
        <v>45288</v>
      </c>
      <c r="AC177" s="158">
        <v>152921</v>
      </c>
      <c r="AD177" s="44"/>
      <c r="AE177" s="46"/>
      <c r="AF177" s="44"/>
      <c r="AG177" s="153"/>
      <c r="AH177" s="55"/>
      <c r="AI177" s="44"/>
      <c r="AJ177" s="75"/>
      <c r="AK177" s="158"/>
      <c r="AL177" s="44"/>
      <c r="AM177" s="48"/>
    </row>
    <row r="178" spans="1:39" ht="15.75" customHeight="1" x14ac:dyDescent="0.25">
      <c r="A178" s="59" t="s">
        <v>729</v>
      </c>
      <c r="B178" s="282" t="s">
        <v>197</v>
      </c>
      <c r="C178" s="33"/>
      <c r="D178" s="33"/>
      <c r="E178" s="33"/>
      <c r="F178" s="289" t="s">
        <v>198</v>
      </c>
      <c r="G178" s="11">
        <v>23</v>
      </c>
      <c r="H178" s="57">
        <v>44197</v>
      </c>
      <c r="I178" s="49">
        <v>9978116</v>
      </c>
      <c r="J178" s="53">
        <v>8765.18</v>
      </c>
      <c r="K178" s="53">
        <v>8765.18</v>
      </c>
      <c r="L178" s="57">
        <v>44403</v>
      </c>
      <c r="M178" s="49">
        <v>30</v>
      </c>
      <c r="N178" s="57">
        <f>L178+M178</f>
        <v>44433</v>
      </c>
      <c r="O178" s="278" t="s">
        <v>199</v>
      </c>
      <c r="P178" s="278">
        <v>10517785</v>
      </c>
      <c r="Q178" s="278" t="s">
        <v>199</v>
      </c>
      <c r="R178" s="278">
        <v>10517785</v>
      </c>
      <c r="S178" s="49">
        <v>10813052</v>
      </c>
      <c r="T178" s="57">
        <v>44426</v>
      </c>
      <c r="U178" s="49">
        <v>10813405</v>
      </c>
      <c r="V178" s="57">
        <v>44426</v>
      </c>
      <c r="W178" s="49">
        <v>10813815</v>
      </c>
      <c r="X178" s="77" t="s">
        <v>200</v>
      </c>
      <c r="Y178" s="49"/>
      <c r="Z178" s="35">
        <v>539792</v>
      </c>
      <c r="AA178" s="60">
        <v>10804974</v>
      </c>
      <c r="AB178" s="9">
        <v>44419</v>
      </c>
      <c r="AC178" s="156">
        <v>8368.59</v>
      </c>
      <c r="AD178" s="49" t="s">
        <v>201</v>
      </c>
      <c r="AE178" s="56">
        <v>9895693</v>
      </c>
      <c r="AF178" s="57">
        <v>44356</v>
      </c>
      <c r="AG178" s="152">
        <v>8765.18</v>
      </c>
      <c r="AH178" s="35" t="s">
        <v>202</v>
      </c>
      <c r="AI178" s="49">
        <v>11642859</v>
      </c>
      <c r="AJ178" s="57">
        <v>44477</v>
      </c>
      <c r="AK178" s="156">
        <v>8368.59</v>
      </c>
      <c r="AL178" s="49"/>
      <c r="AM178" s="36" t="s">
        <v>203</v>
      </c>
    </row>
    <row r="179" spans="1:39" ht="15.75" customHeight="1" x14ac:dyDescent="0.25">
      <c r="A179" s="59" t="s">
        <v>729</v>
      </c>
      <c r="B179" s="283"/>
      <c r="C179" s="7"/>
      <c r="D179" s="7"/>
      <c r="E179" s="7"/>
      <c r="F179" s="294"/>
      <c r="G179" s="26">
        <v>24</v>
      </c>
      <c r="H179" s="59">
        <v>44197</v>
      </c>
      <c r="I179" s="58">
        <v>9978577</v>
      </c>
      <c r="J179" s="39">
        <v>14435</v>
      </c>
      <c r="K179" s="39">
        <v>14435</v>
      </c>
      <c r="L179" s="59">
        <v>44403</v>
      </c>
      <c r="M179" s="58">
        <v>30</v>
      </c>
      <c r="N179" s="59">
        <f>L179+M179</f>
        <v>44433</v>
      </c>
      <c r="O179" s="271"/>
      <c r="P179" s="271"/>
      <c r="Q179" s="271"/>
      <c r="R179" s="271"/>
      <c r="S179" s="58">
        <v>11922229</v>
      </c>
      <c r="T179" s="59">
        <v>44509</v>
      </c>
      <c r="U179" s="58">
        <v>11922459</v>
      </c>
      <c r="V179" s="59">
        <v>44509</v>
      </c>
      <c r="W179" s="58">
        <v>11923075</v>
      </c>
      <c r="X179" s="78" t="s">
        <v>204</v>
      </c>
      <c r="Z179" s="37">
        <v>539965</v>
      </c>
      <c r="AA179" s="62">
        <v>11921484</v>
      </c>
      <c r="AB179" s="27">
        <v>44495</v>
      </c>
      <c r="AC179" s="157">
        <v>396.59</v>
      </c>
      <c r="AD179" s="58" t="s">
        <v>205</v>
      </c>
      <c r="AE179" s="42">
        <v>9895748</v>
      </c>
      <c r="AF179" s="59">
        <v>44356</v>
      </c>
      <c r="AG179" s="155">
        <v>14435</v>
      </c>
      <c r="AH179" s="169" t="s">
        <v>206</v>
      </c>
      <c r="AI179" s="58">
        <v>12004526</v>
      </c>
      <c r="AJ179" s="59">
        <v>44511</v>
      </c>
      <c r="AK179" s="157">
        <v>396.59</v>
      </c>
      <c r="AM179" s="40" t="s">
        <v>203</v>
      </c>
    </row>
    <row r="180" spans="1:39" ht="15.75" customHeight="1" x14ac:dyDescent="0.25">
      <c r="A180" s="59" t="s">
        <v>729</v>
      </c>
      <c r="B180" s="284"/>
      <c r="C180" s="43"/>
      <c r="D180" s="43"/>
      <c r="E180" s="43"/>
      <c r="F180" s="291"/>
      <c r="G180" s="14">
        <v>25</v>
      </c>
      <c r="H180" s="75">
        <v>44197</v>
      </c>
      <c r="I180" s="44">
        <v>9978664</v>
      </c>
      <c r="J180" s="45">
        <v>380</v>
      </c>
      <c r="K180" s="45">
        <v>380</v>
      </c>
      <c r="L180" s="75">
        <v>44403</v>
      </c>
      <c r="M180" s="44">
        <v>30</v>
      </c>
      <c r="N180" s="75">
        <f>L180+M180</f>
        <v>44433</v>
      </c>
      <c r="O180" s="279"/>
      <c r="P180" s="279"/>
      <c r="Q180" s="279"/>
      <c r="R180" s="279"/>
      <c r="S180" s="44">
        <v>12010289</v>
      </c>
      <c r="T180" s="75">
        <v>44516</v>
      </c>
      <c r="U180" s="44">
        <v>12010432</v>
      </c>
      <c r="V180" s="75">
        <v>44516</v>
      </c>
      <c r="W180" s="44">
        <v>12011146</v>
      </c>
      <c r="X180" s="44" t="s">
        <v>207</v>
      </c>
      <c r="Y180" s="44"/>
      <c r="Z180" s="55">
        <v>4753</v>
      </c>
      <c r="AA180" s="119">
        <v>12010209</v>
      </c>
      <c r="AB180" s="15">
        <v>44510</v>
      </c>
      <c r="AC180" s="158">
        <v>380</v>
      </c>
      <c r="AD180" s="44" t="s">
        <v>208</v>
      </c>
      <c r="AE180" s="46">
        <v>9895798</v>
      </c>
      <c r="AF180" s="75">
        <v>44356</v>
      </c>
      <c r="AG180" s="153">
        <v>380</v>
      </c>
      <c r="AH180" s="55" t="s">
        <v>209</v>
      </c>
      <c r="AI180" s="44">
        <v>12487721</v>
      </c>
      <c r="AJ180" s="75">
        <v>44540</v>
      </c>
      <c r="AK180" s="158">
        <v>380</v>
      </c>
      <c r="AL180" s="44"/>
      <c r="AM180" s="48" t="s">
        <v>203</v>
      </c>
    </row>
    <row r="181" spans="1:39" ht="15.75" customHeight="1" x14ac:dyDescent="0.25">
      <c r="A181" s="59" t="s">
        <v>729</v>
      </c>
      <c r="B181" s="282" t="s">
        <v>210</v>
      </c>
      <c r="C181" s="33"/>
      <c r="D181" s="33"/>
      <c r="E181" s="33"/>
      <c r="F181" s="289" t="s">
        <v>35</v>
      </c>
      <c r="G181" s="285">
        <v>73</v>
      </c>
      <c r="H181" s="280">
        <v>44927</v>
      </c>
      <c r="I181" s="278">
        <v>23534256</v>
      </c>
      <c r="J181" s="272">
        <v>6800</v>
      </c>
      <c r="K181" s="272">
        <v>788800</v>
      </c>
      <c r="L181" s="280">
        <v>45261</v>
      </c>
      <c r="M181" s="278">
        <v>180</v>
      </c>
      <c r="N181" s="280">
        <f>L181+M181</f>
        <v>45441</v>
      </c>
      <c r="O181" s="49"/>
      <c r="P181" s="49"/>
      <c r="Q181" s="49"/>
      <c r="R181" s="49"/>
      <c r="S181" s="278">
        <v>27371216</v>
      </c>
      <c r="T181" s="280">
        <v>45467</v>
      </c>
      <c r="U181" s="278">
        <v>27381132</v>
      </c>
      <c r="V181" s="280">
        <v>45467</v>
      </c>
      <c r="W181" s="79">
        <v>27413239</v>
      </c>
      <c r="X181" s="49"/>
      <c r="Y181" s="49"/>
      <c r="Z181" s="35">
        <v>3787</v>
      </c>
      <c r="AA181" s="60">
        <v>27247021</v>
      </c>
      <c r="AB181" s="9">
        <v>45453</v>
      </c>
      <c r="AC181" s="156">
        <v>788800</v>
      </c>
      <c r="AD181" s="49" t="s">
        <v>211</v>
      </c>
      <c r="AE181" s="56">
        <v>23431371</v>
      </c>
      <c r="AF181" s="57">
        <v>45259</v>
      </c>
      <c r="AG181" s="152">
        <v>653855.24</v>
      </c>
      <c r="AH181" s="35" t="s">
        <v>212</v>
      </c>
      <c r="AI181" s="49">
        <v>28100560</v>
      </c>
      <c r="AJ181" s="57">
        <v>45497</v>
      </c>
      <c r="AK181" s="156">
        <v>646008.98</v>
      </c>
      <c r="AL181" s="49"/>
      <c r="AM181" s="36" t="s">
        <v>203</v>
      </c>
    </row>
    <row r="182" spans="1:39" ht="15.75" customHeight="1" x14ac:dyDescent="0.25">
      <c r="A182" s="59" t="s">
        <v>729</v>
      </c>
      <c r="B182" s="288"/>
      <c r="C182" s="43"/>
      <c r="D182" s="43"/>
      <c r="E182" s="43"/>
      <c r="F182" s="290"/>
      <c r="G182" s="292"/>
      <c r="H182" s="293"/>
      <c r="I182" s="276"/>
      <c r="J182" s="281"/>
      <c r="K182" s="281"/>
      <c r="L182" s="293"/>
      <c r="M182" s="276"/>
      <c r="N182" s="293"/>
      <c r="O182" s="44"/>
      <c r="P182" s="44"/>
      <c r="Q182" s="44"/>
      <c r="R182" s="44"/>
      <c r="S182" s="276"/>
      <c r="T182" s="293"/>
      <c r="U182" s="276"/>
      <c r="V182" s="293"/>
      <c r="W182" s="193"/>
      <c r="X182" s="140"/>
      <c r="Y182" s="140"/>
      <c r="Z182" s="140"/>
      <c r="AA182" s="194"/>
      <c r="AB182" s="134"/>
      <c r="AC182" s="159"/>
      <c r="AD182" s="140" t="s">
        <v>213</v>
      </c>
      <c r="AE182" s="138">
        <v>23431495</v>
      </c>
      <c r="AF182" s="141">
        <v>45259</v>
      </c>
      <c r="AG182" s="172">
        <v>134944.76</v>
      </c>
      <c r="AH182" s="135"/>
      <c r="AI182" s="140"/>
      <c r="AJ182" s="141"/>
      <c r="AK182" s="159"/>
      <c r="AL182" s="140"/>
      <c r="AM182" s="48"/>
    </row>
    <row r="183" spans="1:39" ht="15.75" customHeight="1" x14ac:dyDescent="0.25">
      <c r="A183" s="59" t="s">
        <v>729</v>
      </c>
      <c r="B183" s="288"/>
      <c r="C183" s="43"/>
      <c r="D183" s="43"/>
      <c r="E183" s="43"/>
      <c r="F183" s="290"/>
      <c r="G183" s="292"/>
      <c r="H183" s="293"/>
      <c r="I183" s="276"/>
      <c r="J183" s="281"/>
      <c r="K183" s="281"/>
      <c r="L183" s="293"/>
      <c r="M183" s="276"/>
      <c r="N183" s="293"/>
      <c r="O183" s="44"/>
      <c r="P183" s="44"/>
      <c r="Q183" s="44"/>
      <c r="R183" s="44"/>
      <c r="S183" s="276"/>
      <c r="T183" s="293"/>
      <c r="U183" s="276"/>
      <c r="V183" s="293"/>
      <c r="W183" s="80"/>
      <c r="X183" s="44"/>
      <c r="Y183" s="44"/>
      <c r="Z183" s="35">
        <v>3787</v>
      </c>
      <c r="AA183" s="60">
        <v>27247021</v>
      </c>
      <c r="AB183" s="9">
        <v>45453</v>
      </c>
      <c r="AC183" s="156">
        <v>788800</v>
      </c>
      <c r="AD183" s="44" t="s">
        <v>782</v>
      </c>
      <c r="AE183" s="46">
        <v>25118565</v>
      </c>
      <c r="AF183" s="75">
        <v>45351</v>
      </c>
      <c r="AG183" s="153">
        <v>134944.76</v>
      </c>
      <c r="AH183" s="55" t="s">
        <v>781</v>
      </c>
      <c r="AI183" s="44">
        <v>30476543</v>
      </c>
      <c r="AJ183" s="75">
        <v>45609</v>
      </c>
      <c r="AK183" s="158">
        <v>133325.42000000001</v>
      </c>
      <c r="AL183" s="44"/>
      <c r="AM183" t="s">
        <v>784</v>
      </c>
    </row>
    <row r="184" spans="1:39" ht="15.75" customHeight="1" x14ac:dyDescent="0.25">
      <c r="A184" s="59" t="s">
        <v>729</v>
      </c>
      <c r="B184" s="284"/>
      <c r="C184" s="43"/>
      <c r="D184" s="43"/>
      <c r="E184" s="43"/>
      <c r="F184" s="291"/>
      <c r="G184" s="287"/>
      <c r="H184" s="279"/>
      <c r="I184" s="279"/>
      <c r="J184" s="279"/>
      <c r="K184" s="279"/>
      <c r="L184" s="279"/>
      <c r="M184" s="279"/>
      <c r="N184" s="279"/>
      <c r="O184" s="44"/>
      <c r="P184" s="44"/>
      <c r="Q184" s="44"/>
      <c r="R184" s="44"/>
      <c r="S184" s="279"/>
      <c r="T184" s="279"/>
      <c r="U184" s="279"/>
      <c r="V184" s="279"/>
      <c r="W184" s="80"/>
      <c r="X184" s="44"/>
      <c r="Y184" s="44"/>
      <c r="Z184" s="44"/>
      <c r="AA184" s="121"/>
      <c r="AB184" s="47"/>
      <c r="AC184" s="158"/>
      <c r="AD184" s="44"/>
      <c r="AE184" s="46"/>
      <c r="AF184" s="75"/>
      <c r="AG184" s="153"/>
      <c r="AH184" t="s">
        <v>783</v>
      </c>
      <c r="AI184" s="44">
        <v>33092984</v>
      </c>
      <c r="AJ184" s="75">
        <v>45723</v>
      </c>
      <c r="AK184" s="158">
        <v>7846.26</v>
      </c>
      <c r="AL184" s="44"/>
      <c r="AM184" t="s">
        <v>203</v>
      </c>
    </row>
    <row r="185" spans="1:39" ht="15.75" customHeight="1" x14ac:dyDescent="0.25">
      <c r="A185" s="59" t="s">
        <v>727</v>
      </c>
      <c r="B185" s="282" t="s">
        <v>214</v>
      </c>
      <c r="C185" s="33"/>
      <c r="D185" s="33"/>
      <c r="E185" s="33"/>
      <c r="F185" s="289" t="s">
        <v>35</v>
      </c>
      <c r="G185" s="285">
        <v>36</v>
      </c>
      <c r="H185" s="280">
        <v>44197</v>
      </c>
      <c r="I185" s="278">
        <v>10770792</v>
      </c>
      <c r="J185" s="10">
        <v>2300</v>
      </c>
      <c r="K185" s="272">
        <v>6963</v>
      </c>
      <c r="L185" s="280">
        <v>44432</v>
      </c>
      <c r="M185" s="278">
        <v>10</v>
      </c>
      <c r="N185" s="280">
        <f>L185+M185</f>
        <v>44442</v>
      </c>
      <c r="O185" s="278" t="s">
        <v>215</v>
      </c>
      <c r="P185" s="278">
        <v>10951950</v>
      </c>
      <c r="Q185" s="278" t="s">
        <v>215</v>
      </c>
      <c r="R185" s="278">
        <v>10951950</v>
      </c>
      <c r="S185" s="79">
        <v>15071831</v>
      </c>
      <c r="T185" s="81">
        <v>44735</v>
      </c>
      <c r="U185" s="79">
        <v>15070971</v>
      </c>
      <c r="V185" s="81">
        <v>44735</v>
      </c>
      <c r="W185" s="11">
        <v>15073257</v>
      </c>
      <c r="X185" s="77" t="s">
        <v>216</v>
      </c>
      <c r="Y185" s="49"/>
      <c r="Z185" s="35">
        <v>1983</v>
      </c>
      <c r="AA185" s="60">
        <v>15058215</v>
      </c>
      <c r="AB185" s="9">
        <v>44732</v>
      </c>
      <c r="AC185" s="156">
        <v>2300</v>
      </c>
      <c r="AD185" s="49" t="s">
        <v>217</v>
      </c>
      <c r="AE185" s="56">
        <v>10746356</v>
      </c>
      <c r="AF185" s="57">
        <v>44420</v>
      </c>
      <c r="AG185" s="152">
        <v>6963</v>
      </c>
      <c r="AH185" s="35" t="s">
        <v>218</v>
      </c>
      <c r="AI185" s="49">
        <v>15190618</v>
      </c>
      <c r="AJ185" s="57">
        <v>44739</v>
      </c>
      <c r="AK185" s="156">
        <v>2300</v>
      </c>
      <c r="AL185" s="49"/>
      <c r="AM185" s="36" t="s">
        <v>203</v>
      </c>
    </row>
    <row r="186" spans="1:39" ht="15.75" customHeight="1" x14ac:dyDescent="0.25">
      <c r="A186" s="59" t="s">
        <v>727</v>
      </c>
      <c r="B186" s="283"/>
      <c r="C186" s="7"/>
      <c r="D186" s="7"/>
      <c r="E186" s="7"/>
      <c r="F186" s="294"/>
      <c r="G186" s="286"/>
      <c r="H186" s="271"/>
      <c r="I186" s="271"/>
      <c r="J186" s="28">
        <v>413</v>
      </c>
      <c r="K186" s="271"/>
      <c r="L186" s="271"/>
      <c r="M186" s="271"/>
      <c r="N186" s="271"/>
      <c r="O186" s="271"/>
      <c r="P186" s="271"/>
      <c r="Q186" s="271"/>
      <c r="R186" s="271"/>
      <c r="S186" s="275">
        <v>15131326</v>
      </c>
      <c r="T186" s="274">
        <v>44739</v>
      </c>
      <c r="U186" s="275">
        <v>15148349</v>
      </c>
      <c r="V186" s="274">
        <v>44740</v>
      </c>
      <c r="W186" s="275">
        <v>15131730</v>
      </c>
      <c r="X186" s="82" t="s">
        <v>219</v>
      </c>
      <c r="Z186" s="275">
        <v>1992</v>
      </c>
      <c r="AA186" s="305">
        <v>15131110</v>
      </c>
      <c r="AB186" s="274">
        <v>44733</v>
      </c>
      <c r="AC186" s="317">
        <v>4663</v>
      </c>
      <c r="AE186" s="42"/>
      <c r="AG186" s="155"/>
      <c r="AH186" s="275" t="s">
        <v>220</v>
      </c>
      <c r="AI186" s="275">
        <v>15245227</v>
      </c>
      <c r="AJ186" s="274">
        <v>44741</v>
      </c>
      <c r="AK186" s="317">
        <v>4663</v>
      </c>
      <c r="AM186" s="40" t="s">
        <v>203</v>
      </c>
    </row>
    <row r="187" spans="1:39" ht="15.75" customHeight="1" x14ac:dyDescent="0.25">
      <c r="A187" s="59" t="s">
        <v>727</v>
      </c>
      <c r="B187" s="283"/>
      <c r="C187" s="7"/>
      <c r="D187" s="7"/>
      <c r="E187" s="7"/>
      <c r="F187" s="294"/>
      <c r="G187" s="286"/>
      <c r="H187" s="271"/>
      <c r="I187" s="271"/>
      <c r="J187" s="28">
        <v>4250</v>
      </c>
      <c r="K187" s="271"/>
      <c r="L187" s="271"/>
      <c r="M187" s="271"/>
      <c r="N187" s="271"/>
      <c r="O187" s="271"/>
      <c r="P187" s="271"/>
      <c r="Q187" s="271"/>
      <c r="R187" s="271"/>
      <c r="S187" s="271"/>
      <c r="T187" s="271"/>
      <c r="U187" s="271"/>
      <c r="V187" s="271"/>
      <c r="W187" s="271"/>
      <c r="X187" s="82" t="s">
        <v>221</v>
      </c>
      <c r="Z187" s="271"/>
      <c r="AA187" s="271"/>
      <c r="AB187" s="307"/>
      <c r="AC187" s="309"/>
      <c r="AE187" s="42"/>
      <c r="AG187" s="155"/>
      <c r="AH187" s="301"/>
      <c r="AI187" s="271"/>
      <c r="AJ187" s="271"/>
      <c r="AK187" s="309"/>
      <c r="AM187" s="40" t="s">
        <v>203</v>
      </c>
    </row>
    <row r="188" spans="1:39" ht="15.75" customHeight="1" x14ac:dyDescent="0.25">
      <c r="A188" s="59" t="s">
        <v>727</v>
      </c>
      <c r="B188" s="283"/>
      <c r="C188" s="7"/>
      <c r="D188" s="7"/>
      <c r="E188" s="7"/>
      <c r="F188" s="294"/>
      <c r="G188" s="26">
        <v>37</v>
      </c>
      <c r="H188" s="59">
        <v>44197</v>
      </c>
      <c r="I188" s="58">
        <v>10770885</v>
      </c>
      <c r="J188" s="28">
        <v>445</v>
      </c>
      <c r="K188" s="39">
        <v>890</v>
      </c>
      <c r="L188" s="59">
        <v>44432</v>
      </c>
      <c r="M188" s="58">
        <v>10</v>
      </c>
      <c r="N188" s="59">
        <f>L188+M188</f>
        <v>44442</v>
      </c>
      <c r="O188" s="271"/>
      <c r="P188" s="271"/>
      <c r="Q188" s="271"/>
      <c r="R188" s="271"/>
      <c r="S188" s="83">
        <v>11771522</v>
      </c>
      <c r="T188" s="84">
        <v>44497</v>
      </c>
      <c r="U188" s="83">
        <v>11772254</v>
      </c>
      <c r="V188" s="84">
        <v>44497</v>
      </c>
      <c r="Z188" s="37">
        <v>452</v>
      </c>
      <c r="AA188" s="62">
        <v>11770536</v>
      </c>
      <c r="AB188" s="27">
        <v>44468</v>
      </c>
      <c r="AC188" s="155">
        <v>599</v>
      </c>
      <c r="AD188" s="58" t="s">
        <v>222</v>
      </c>
      <c r="AE188" s="42">
        <v>10746272</v>
      </c>
      <c r="AF188" s="59">
        <v>44420</v>
      </c>
      <c r="AG188" s="155">
        <v>599</v>
      </c>
      <c r="AH188" s="169" t="s">
        <v>223</v>
      </c>
      <c r="AI188" s="58">
        <v>12004705</v>
      </c>
      <c r="AJ188" s="59">
        <v>44503</v>
      </c>
      <c r="AK188" s="157">
        <v>599</v>
      </c>
      <c r="AM188" s="40" t="s">
        <v>203</v>
      </c>
    </row>
    <row r="189" spans="1:39" ht="15.75" customHeight="1" x14ac:dyDescent="0.25">
      <c r="A189" s="59" t="s">
        <v>727</v>
      </c>
      <c r="B189" s="284"/>
      <c r="C189" s="43"/>
      <c r="D189" s="43"/>
      <c r="E189" s="43"/>
      <c r="F189" s="291"/>
      <c r="G189" s="14">
        <v>38</v>
      </c>
      <c r="H189" s="75">
        <v>44197</v>
      </c>
      <c r="I189" s="44">
        <v>10770933</v>
      </c>
      <c r="J189" s="16">
        <v>599</v>
      </c>
      <c r="K189" s="45">
        <v>599</v>
      </c>
      <c r="L189" s="75">
        <v>44432</v>
      </c>
      <c r="M189" s="44">
        <v>10</v>
      </c>
      <c r="N189" s="75">
        <f>L189+M189</f>
        <v>44442</v>
      </c>
      <c r="O189" s="279"/>
      <c r="P189" s="279"/>
      <c r="Q189" s="279"/>
      <c r="R189" s="279"/>
      <c r="S189" s="44">
        <v>11785841</v>
      </c>
      <c r="T189" s="75">
        <v>44498</v>
      </c>
      <c r="U189" s="44">
        <v>11786043</v>
      </c>
      <c r="V189" s="75">
        <v>44498</v>
      </c>
      <c r="W189" s="44">
        <v>11786189</v>
      </c>
      <c r="X189" s="44" t="s">
        <v>224</v>
      </c>
      <c r="Y189" s="44"/>
      <c r="Z189" s="44">
        <v>435</v>
      </c>
      <c r="AA189" s="119">
        <v>11785634</v>
      </c>
      <c r="AB189" s="47">
        <v>44439</v>
      </c>
      <c r="AC189" s="158">
        <v>890</v>
      </c>
      <c r="AD189" s="44" t="s">
        <v>225</v>
      </c>
      <c r="AE189" s="46">
        <v>10746331</v>
      </c>
      <c r="AF189" s="75">
        <v>44420</v>
      </c>
      <c r="AG189" s="153">
        <v>890</v>
      </c>
      <c r="AH189" s="55" t="s">
        <v>226</v>
      </c>
      <c r="AI189" s="44">
        <v>12004759</v>
      </c>
      <c r="AJ189" s="75">
        <v>44503</v>
      </c>
      <c r="AK189" s="158">
        <v>890</v>
      </c>
      <c r="AL189" s="44"/>
      <c r="AM189" s="48" t="s">
        <v>203</v>
      </c>
    </row>
    <row r="190" spans="1:39" ht="15.75" customHeight="1" x14ac:dyDescent="0.25">
      <c r="A190" s="59" t="s">
        <v>728</v>
      </c>
      <c r="B190" s="282" t="s">
        <v>227</v>
      </c>
      <c r="C190" s="33"/>
      <c r="D190" s="33"/>
      <c r="E190" s="33"/>
      <c r="F190" s="289" t="s">
        <v>35</v>
      </c>
      <c r="G190" s="11">
        <v>26</v>
      </c>
      <c r="H190" s="57">
        <v>43831</v>
      </c>
      <c r="I190" s="49">
        <v>5873974</v>
      </c>
      <c r="J190" s="10">
        <v>0.99</v>
      </c>
      <c r="K190" s="53">
        <v>19800</v>
      </c>
      <c r="L190" s="57">
        <v>43980</v>
      </c>
      <c r="M190" s="49">
        <v>30</v>
      </c>
      <c r="N190" s="57">
        <f>L190+M190</f>
        <v>44010</v>
      </c>
      <c r="O190" s="278" t="s">
        <v>228</v>
      </c>
      <c r="P190" s="278">
        <v>5936078</v>
      </c>
      <c r="Q190" s="278" t="s">
        <v>228</v>
      </c>
      <c r="R190" s="278">
        <v>5936078</v>
      </c>
      <c r="S190" s="49">
        <v>7546730</v>
      </c>
      <c r="T190" s="57">
        <v>44047</v>
      </c>
      <c r="U190" s="49">
        <v>7546763</v>
      </c>
      <c r="V190" s="57">
        <v>44049</v>
      </c>
      <c r="W190" s="49"/>
      <c r="X190" s="49"/>
      <c r="Y190" s="49"/>
      <c r="Z190" s="49">
        <v>7656</v>
      </c>
      <c r="AA190" s="60">
        <v>7546671</v>
      </c>
      <c r="AB190" s="50">
        <v>43991</v>
      </c>
      <c r="AC190" s="156">
        <v>11880</v>
      </c>
      <c r="AD190" s="49" t="s">
        <v>229</v>
      </c>
      <c r="AE190" s="56">
        <v>5669998</v>
      </c>
      <c r="AF190" s="57">
        <v>43976</v>
      </c>
      <c r="AG190" s="152">
        <v>19800</v>
      </c>
      <c r="AH190" s="35" t="s">
        <v>230</v>
      </c>
      <c r="AI190" s="49">
        <v>7629162</v>
      </c>
      <c r="AJ190" s="57">
        <v>44159</v>
      </c>
      <c r="AK190" s="156">
        <v>11800</v>
      </c>
      <c r="AL190" s="49"/>
      <c r="AM190" s="36" t="s">
        <v>59</v>
      </c>
    </row>
    <row r="191" spans="1:39" ht="15.75" customHeight="1" x14ac:dyDescent="0.25">
      <c r="A191" s="59" t="s">
        <v>728</v>
      </c>
      <c r="B191" s="283"/>
      <c r="C191" s="7"/>
      <c r="D191" s="7"/>
      <c r="E191" s="7"/>
      <c r="F191" s="294"/>
      <c r="G191" s="292">
        <v>25</v>
      </c>
      <c r="H191" s="274">
        <v>43831</v>
      </c>
      <c r="I191" s="275">
        <v>5934925</v>
      </c>
      <c r="J191" s="28">
        <v>0.33</v>
      </c>
      <c r="K191" s="273">
        <v>1890</v>
      </c>
      <c r="L191" s="274">
        <v>43980</v>
      </c>
      <c r="M191" s="275">
        <v>30</v>
      </c>
      <c r="N191" s="274">
        <f>L191+M191</f>
        <v>44010</v>
      </c>
      <c r="O191" s="271"/>
      <c r="P191" s="271"/>
      <c r="Q191" s="271"/>
      <c r="R191" s="271"/>
      <c r="S191" s="58">
        <v>7546855</v>
      </c>
      <c r="T191" s="59">
        <v>44130</v>
      </c>
      <c r="U191" s="58">
        <v>7546921</v>
      </c>
      <c r="V191" s="59">
        <v>44132</v>
      </c>
      <c r="Z191" s="58">
        <v>180603</v>
      </c>
      <c r="AA191" s="64">
        <v>7484173</v>
      </c>
      <c r="AB191" s="38">
        <v>44141</v>
      </c>
      <c r="AC191" s="157">
        <v>1890</v>
      </c>
      <c r="AD191" s="58" t="s">
        <v>231</v>
      </c>
      <c r="AE191" s="42">
        <v>5669973</v>
      </c>
      <c r="AF191" s="59">
        <v>43976</v>
      </c>
      <c r="AG191" s="155">
        <v>1890</v>
      </c>
      <c r="AH191" s="169" t="s">
        <v>232</v>
      </c>
      <c r="AI191" s="58">
        <v>7629120</v>
      </c>
      <c r="AJ191" s="59">
        <v>44159</v>
      </c>
      <c r="AK191" s="157">
        <v>1890</v>
      </c>
      <c r="AM191" s="40" t="s">
        <v>59</v>
      </c>
    </row>
    <row r="192" spans="1:39" ht="15.75" customHeight="1" x14ac:dyDescent="0.25">
      <c r="A192" s="59" t="s">
        <v>728</v>
      </c>
      <c r="B192" s="283"/>
      <c r="C192" s="7"/>
      <c r="D192" s="7"/>
      <c r="E192" s="7"/>
      <c r="F192" s="294"/>
      <c r="G192" s="286"/>
      <c r="H192" s="271"/>
      <c r="I192" s="271"/>
      <c r="J192" s="28">
        <v>0.18</v>
      </c>
      <c r="K192" s="271"/>
      <c r="L192" s="271"/>
      <c r="M192" s="271"/>
      <c r="N192" s="271"/>
      <c r="O192" s="271"/>
      <c r="P192" s="271"/>
      <c r="Q192" s="271"/>
      <c r="R192" s="271"/>
      <c r="S192" s="58">
        <v>7484213</v>
      </c>
      <c r="T192" s="59">
        <v>44146</v>
      </c>
      <c r="U192" s="58">
        <v>7547840</v>
      </c>
      <c r="V192" s="59">
        <v>44152</v>
      </c>
      <c r="Z192" s="58">
        <v>8122</v>
      </c>
      <c r="AA192" s="62">
        <v>7546808</v>
      </c>
      <c r="AB192" s="38">
        <v>44109</v>
      </c>
      <c r="AC192" s="157">
        <v>7920</v>
      </c>
      <c r="AE192" s="42"/>
      <c r="AG192" s="155"/>
      <c r="AH192" s="169" t="s">
        <v>233</v>
      </c>
      <c r="AI192" s="58">
        <v>7629208</v>
      </c>
      <c r="AJ192" s="59">
        <v>44159</v>
      </c>
      <c r="AK192" s="157">
        <v>7920</v>
      </c>
      <c r="AM192" s="40" t="s">
        <v>59</v>
      </c>
    </row>
    <row r="193" spans="1:39" ht="15.75" customHeight="1" x14ac:dyDescent="0.25">
      <c r="A193" s="59" t="s">
        <v>728</v>
      </c>
      <c r="B193" s="284"/>
      <c r="C193" s="43"/>
      <c r="D193" s="43"/>
      <c r="E193" s="43"/>
      <c r="F193" s="291"/>
      <c r="G193" s="14"/>
      <c r="H193" s="75"/>
      <c r="I193" s="44"/>
      <c r="J193" s="45"/>
      <c r="K193" s="45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121"/>
      <c r="AB193" s="47"/>
      <c r="AC193" s="158"/>
      <c r="AD193" s="44"/>
      <c r="AE193" s="46"/>
      <c r="AF193" s="44"/>
      <c r="AG193" s="153"/>
      <c r="AH193" s="55" t="s">
        <v>234</v>
      </c>
      <c r="AI193" s="44">
        <v>7776524</v>
      </c>
      <c r="AJ193" s="75">
        <v>44165</v>
      </c>
      <c r="AK193" s="158">
        <v>80</v>
      </c>
      <c r="AL193" s="44"/>
      <c r="AM193" s="48" t="s">
        <v>59</v>
      </c>
    </row>
    <row r="194" spans="1:39" ht="15.75" customHeight="1" x14ac:dyDescent="0.25">
      <c r="A194" s="59" t="s">
        <v>728</v>
      </c>
      <c r="B194" s="282" t="s">
        <v>235</v>
      </c>
      <c r="C194" s="33"/>
      <c r="D194" s="33"/>
      <c r="E194" s="33"/>
      <c r="F194" s="313" t="s">
        <v>236</v>
      </c>
      <c r="G194" s="285">
        <v>20</v>
      </c>
      <c r="H194" s="280">
        <v>43831</v>
      </c>
      <c r="I194" s="278">
        <v>5384164</v>
      </c>
      <c r="J194" s="53">
        <v>3296.7</v>
      </c>
      <c r="K194" s="272">
        <v>59970.32</v>
      </c>
      <c r="L194" s="280">
        <v>43974</v>
      </c>
      <c r="M194" s="278">
        <v>30</v>
      </c>
      <c r="N194" s="280">
        <f>L194+M194</f>
        <v>44004</v>
      </c>
      <c r="O194" s="278" t="s">
        <v>237</v>
      </c>
      <c r="P194" s="278">
        <v>5443230</v>
      </c>
      <c r="Q194" s="278" t="s">
        <v>237</v>
      </c>
      <c r="R194" s="278">
        <v>5443230</v>
      </c>
      <c r="S194" s="49"/>
      <c r="T194" s="49"/>
      <c r="U194" s="278">
        <v>5608090</v>
      </c>
      <c r="V194" s="280">
        <v>43950</v>
      </c>
      <c r="W194" s="49"/>
      <c r="X194" s="49"/>
      <c r="Y194" s="49"/>
      <c r="Z194" s="49">
        <v>10866</v>
      </c>
      <c r="AA194" s="60">
        <v>5443337</v>
      </c>
      <c r="AB194" s="50">
        <v>43950</v>
      </c>
      <c r="AC194" s="156">
        <v>59970.32</v>
      </c>
      <c r="AD194" s="49" t="s">
        <v>238</v>
      </c>
      <c r="AE194" s="56">
        <v>5373688</v>
      </c>
      <c r="AF194" s="57">
        <v>43944</v>
      </c>
      <c r="AG194" s="152">
        <v>50092.94</v>
      </c>
      <c r="AH194" s="35" t="s">
        <v>239</v>
      </c>
      <c r="AI194" s="49">
        <v>5614711</v>
      </c>
      <c r="AJ194" s="57">
        <v>43957</v>
      </c>
      <c r="AK194" s="156">
        <v>59970.32</v>
      </c>
      <c r="AL194" s="49"/>
      <c r="AM194" s="72" t="s">
        <v>59</v>
      </c>
    </row>
    <row r="195" spans="1:39" ht="15.75" customHeight="1" x14ac:dyDescent="0.25">
      <c r="A195" s="59" t="s">
        <v>728</v>
      </c>
      <c r="B195" s="283"/>
      <c r="C195" s="7"/>
      <c r="D195" s="7"/>
      <c r="E195" s="7"/>
      <c r="F195" s="294"/>
      <c r="G195" s="286"/>
      <c r="H195" s="271"/>
      <c r="I195" s="271"/>
      <c r="J195" s="39">
        <v>6580.68</v>
      </c>
      <c r="K195" s="271"/>
      <c r="L195" s="271"/>
      <c r="M195" s="271"/>
      <c r="N195" s="271"/>
      <c r="O195" s="271"/>
      <c r="P195" s="271"/>
      <c r="Q195" s="271"/>
      <c r="R195" s="271"/>
      <c r="U195" s="271"/>
      <c r="V195" s="271"/>
      <c r="AA195" s="64"/>
      <c r="AC195" s="157"/>
      <c r="AD195" s="58" t="s">
        <v>240</v>
      </c>
      <c r="AE195" s="42">
        <v>5373704</v>
      </c>
      <c r="AF195" s="59">
        <v>43944</v>
      </c>
      <c r="AG195" s="155">
        <v>9877.3799999999992</v>
      </c>
      <c r="AJ195" s="123"/>
      <c r="AK195" s="157"/>
      <c r="AM195" s="40"/>
    </row>
    <row r="196" spans="1:39" ht="15.75" customHeight="1" x14ac:dyDescent="0.25">
      <c r="A196" s="59" t="s">
        <v>728</v>
      </c>
      <c r="B196" s="284"/>
      <c r="C196" s="43"/>
      <c r="D196" s="43"/>
      <c r="E196" s="43"/>
      <c r="F196" s="291"/>
      <c r="G196" s="287"/>
      <c r="H196" s="279"/>
      <c r="I196" s="279"/>
      <c r="J196" s="45">
        <v>50092.94</v>
      </c>
      <c r="K196" s="279"/>
      <c r="L196" s="279"/>
      <c r="M196" s="279"/>
      <c r="N196" s="279"/>
      <c r="O196" s="279"/>
      <c r="P196" s="279"/>
      <c r="Q196" s="279"/>
      <c r="R196" s="279"/>
      <c r="S196" s="44"/>
      <c r="T196" s="44"/>
      <c r="U196" s="279"/>
      <c r="V196" s="279"/>
      <c r="W196" s="44"/>
      <c r="X196" s="44"/>
      <c r="Y196" s="44"/>
      <c r="Z196" s="44"/>
      <c r="AA196" s="121"/>
      <c r="AB196" s="47"/>
      <c r="AC196" s="158"/>
      <c r="AD196" s="44"/>
      <c r="AE196" s="46"/>
      <c r="AF196" s="44"/>
      <c r="AG196" s="153"/>
      <c r="AH196" s="55"/>
      <c r="AI196" s="44"/>
      <c r="AJ196" s="75"/>
      <c r="AK196" s="158"/>
      <c r="AL196" s="44"/>
      <c r="AM196" s="48"/>
    </row>
    <row r="197" spans="1:39" ht="15.75" customHeight="1" x14ac:dyDescent="0.25">
      <c r="A197" s="59" t="s">
        <v>728</v>
      </c>
      <c r="B197" s="282" t="s">
        <v>241</v>
      </c>
      <c r="C197" s="33"/>
      <c r="D197" s="33"/>
      <c r="E197" s="33"/>
      <c r="F197" s="33"/>
      <c r="G197" s="285">
        <v>17</v>
      </c>
      <c r="H197" s="280">
        <v>43831</v>
      </c>
      <c r="I197" s="278">
        <v>5384109</v>
      </c>
      <c r="J197" s="53">
        <v>18525</v>
      </c>
      <c r="K197" s="272">
        <v>63435</v>
      </c>
      <c r="L197" s="280">
        <v>43944</v>
      </c>
      <c r="M197" s="278">
        <v>30</v>
      </c>
      <c r="N197" s="280">
        <f>L197+M197</f>
        <v>43974</v>
      </c>
      <c r="O197" s="278" t="s">
        <v>242</v>
      </c>
      <c r="P197" s="278">
        <v>5443943</v>
      </c>
      <c r="Q197" s="278" t="s">
        <v>242</v>
      </c>
      <c r="R197" s="278">
        <v>5443943</v>
      </c>
      <c r="S197" s="49"/>
      <c r="T197" s="49"/>
      <c r="U197" s="278">
        <v>5782128</v>
      </c>
      <c r="V197" s="280">
        <v>43950</v>
      </c>
      <c r="W197" s="49"/>
      <c r="X197" s="49"/>
      <c r="Y197" s="49"/>
      <c r="Z197" s="49">
        <v>10989</v>
      </c>
      <c r="AA197" s="122">
        <v>5684285</v>
      </c>
      <c r="AB197" s="50">
        <v>43965</v>
      </c>
      <c r="AC197" s="156">
        <v>22200</v>
      </c>
      <c r="AD197" s="49" t="s">
        <v>243</v>
      </c>
      <c r="AE197" s="56">
        <v>5373616</v>
      </c>
      <c r="AF197" s="57">
        <v>43944</v>
      </c>
      <c r="AG197" s="152">
        <v>63435</v>
      </c>
      <c r="AH197" s="35" t="s">
        <v>244</v>
      </c>
      <c r="AI197" s="49">
        <v>5875986</v>
      </c>
      <c r="AJ197" s="57">
        <v>43990</v>
      </c>
      <c r="AK197" s="156">
        <v>17250</v>
      </c>
      <c r="AL197" s="49"/>
      <c r="AM197" s="36" t="s">
        <v>59</v>
      </c>
    </row>
    <row r="198" spans="1:39" ht="15.75" customHeight="1" x14ac:dyDescent="0.25">
      <c r="A198" s="59" t="s">
        <v>728</v>
      </c>
      <c r="B198" s="283"/>
      <c r="C198" s="7"/>
      <c r="D198" s="7"/>
      <c r="E198" s="7"/>
      <c r="F198" s="7"/>
      <c r="G198" s="286"/>
      <c r="H198" s="271"/>
      <c r="I198" s="271"/>
      <c r="J198" s="39">
        <v>17250</v>
      </c>
      <c r="K198" s="271"/>
      <c r="L198" s="271"/>
      <c r="M198" s="271"/>
      <c r="N198" s="271"/>
      <c r="O198" s="271"/>
      <c r="P198" s="271"/>
      <c r="Q198" s="271"/>
      <c r="R198" s="271"/>
      <c r="U198" s="271"/>
      <c r="V198" s="271"/>
      <c r="Z198" s="58">
        <v>11019</v>
      </c>
      <c r="AA198" s="64">
        <v>5684305</v>
      </c>
      <c r="AB198" s="38">
        <v>43969</v>
      </c>
      <c r="AC198" s="157">
        <v>18525</v>
      </c>
      <c r="AD198" s="58" t="s">
        <v>245</v>
      </c>
      <c r="AE198" s="42">
        <v>7929778</v>
      </c>
      <c r="AF198" s="59">
        <v>44183</v>
      </c>
      <c r="AG198" s="155">
        <v>31717.5</v>
      </c>
      <c r="AJ198" s="123"/>
      <c r="AK198" s="157"/>
      <c r="AM198" s="40"/>
    </row>
    <row r="199" spans="1:39" ht="15.75" customHeight="1" x14ac:dyDescent="0.25">
      <c r="A199" s="59" t="s">
        <v>728</v>
      </c>
      <c r="B199" s="283"/>
      <c r="C199" s="7"/>
      <c r="D199" s="7"/>
      <c r="E199" s="7"/>
      <c r="F199" s="7"/>
      <c r="G199" s="286"/>
      <c r="H199" s="271"/>
      <c r="I199" s="271"/>
      <c r="J199" s="39">
        <v>22200</v>
      </c>
      <c r="K199" s="271"/>
      <c r="L199" s="271"/>
      <c r="M199" s="271"/>
      <c r="N199" s="271"/>
      <c r="O199" s="271"/>
      <c r="P199" s="271"/>
      <c r="Q199" s="271"/>
      <c r="R199" s="271"/>
      <c r="U199" s="271"/>
      <c r="V199" s="271"/>
      <c r="AA199" s="64"/>
      <c r="AC199" s="157"/>
      <c r="AE199" s="42"/>
      <c r="AG199" s="155"/>
      <c r="AJ199" s="123"/>
      <c r="AK199" s="157"/>
      <c r="AM199" s="40"/>
    </row>
    <row r="200" spans="1:39" ht="15.75" customHeight="1" x14ac:dyDescent="0.25">
      <c r="A200" s="59" t="s">
        <v>728</v>
      </c>
      <c r="B200" s="284"/>
      <c r="C200" s="43"/>
      <c r="D200" s="43"/>
      <c r="E200" s="43"/>
      <c r="F200" s="43"/>
      <c r="G200" s="287"/>
      <c r="H200" s="279"/>
      <c r="I200" s="279"/>
      <c r="J200" s="45">
        <v>5460</v>
      </c>
      <c r="K200" s="279"/>
      <c r="L200" s="279"/>
      <c r="M200" s="279"/>
      <c r="N200" s="279"/>
      <c r="O200" s="279"/>
      <c r="P200" s="279"/>
      <c r="Q200" s="279"/>
      <c r="R200" s="279"/>
      <c r="S200" s="44"/>
      <c r="T200" s="44"/>
      <c r="U200" s="279"/>
      <c r="V200" s="279"/>
      <c r="W200" s="44"/>
      <c r="X200" s="44"/>
      <c r="Y200" s="44"/>
      <c r="Z200" s="44"/>
      <c r="AA200" s="121"/>
      <c r="AB200" s="47"/>
      <c r="AC200" s="158"/>
      <c r="AD200" s="44"/>
      <c r="AE200" s="46"/>
      <c r="AF200" s="44"/>
      <c r="AG200" s="153"/>
      <c r="AH200" s="55"/>
      <c r="AI200" s="44"/>
      <c r="AJ200" s="75"/>
      <c r="AK200" s="158"/>
      <c r="AL200" s="44"/>
      <c r="AM200" s="48"/>
    </row>
    <row r="201" spans="1:39" ht="15.75" customHeight="1" x14ac:dyDescent="0.25">
      <c r="A201" s="59" t="s">
        <v>728</v>
      </c>
      <c r="B201" s="282" t="s">
        <v>246</v>
      </c>
      <c r="C201" s="33"/>
      <c r="D201" s="33"/>
      <c r="E201" s="33"/>
      <c r="F201" s="33"/>
      <c r="G201" s="285">
        <v>21</v>
      </c>
      <c r="H201" s="57">
        <v>43831</v>
      </c>
      <c r="I201" s="49">
        <v>5383892</v>
      </c>
      <c r="J201" s="53">
        <v>1600</v>
      </c>
      <c r="K201" s="53">
        <v>7130</v>
      </c>
      <c r="L201" s="57">
        <v>43945</v>
      </c>
      <c r="M201" s="49">
        <v>30</v>
      </c>
      <c r="N201" s="57">
        <f>L201+M201</f>
        <v>43975</v>
      </c>
      <c r="O201" s="11" t="s">
        <v>228</v>
      </c>
      <c r="P201" s="49">
        <v>5444202</v>
      </c>
      <c r="Q201" s="11" t="s">
        <v>228</v>
      </c>
      <c r="R201" s="49">
        <v>5444202</v>
      </c>
      <c r="S201" s="49"/>
      <c r="T201" s="49"/>
      <c r="U201" s="49">
        <v>5614929</v>
      </c>
      <c r="V201" s="57">
        <v>43950</v>
      </c>
      <c r="W201" s="49"/>
      <c r="X201" s="49"/>
      <c r="Y201" s="49"/>
      <c r="Z201" s="49">
        <v>234</v>
      </c>
      <c r="AA201" s="122">
        <v>5427715</v>
      </c>
      <c r="AB201" s="50">
        <v>43950</v>
      </c>
      <c r="AC201" s="156">
        <v>7130</v>
      </c>
      <c r="AD201" s="49" t="s">
        <v>247</v>
      </c>
      <c r="AE201" s="56">
        <v>5373652</v>
      </c>
      <c r="AF201" s="57">
        <v>43944</v>
      </c>
      <c r="AG201" s="152">
        <v>7130</v>
      </c>
      <c r="AH201" s="35" t="s">
        <v>248</v>
      </c>
      <c r="AI201" s="49">
        <v>6397473</v>
      </c>
      <c r="AJ201" s="57">
        <v>43980</v>
      </c>
      <c r="AK201" s="156">
        <v>5060</v>
      </c>
      <c r="AL201" s="49"/>
      <c r="AM201" s="36" t="s">
        <v>59</v>
      </c>
    </row>
    <row r="202" spans="1:39" ht="15.75" customHeight="1" x14ac:dyDescent="0.25">
      <c r="A202" s="59" t="s">
        <v>728</v>
      </c>
      <c r="B202" s="283"/>
      <c r="C202" s="7"/>
      <c r="D202" s="7"/>
      <c r="E202" s="7"/>
      <c r="F202" s="7"/>
      <c r="G202" s="286"/>
      <c r="H202" s="59"/>
      <c r="J202" s="39">
        <v>2070</v>
      </c>
      <c r="K202" s="39"/>
      <c r="AA202" s="64"/>
      <c r="AC202" s="157"/>
      <c r="AD202" s="58" t="s">
        <v>249</v>
      </c>
      <c r="AE202" s="42">
        <v>8017732</v>
      </c>
      <c r="AF202" s="59">
        <v>44194</v>
      </c>
      <c r="AG202" s="155">
        <v>2070</v>
      </c>
      <c r="AJ202" s="123"/>
      <c r="AK202" s="157"/>
      <c r="AM202" s="40"/>
    </row>
    <row r="203" spans="1:39" ht="15.75" customHeight="1" x14ac:dyDescent="0.25">
      <c r="A203" s="59" t="s">
        <v>728</v>
      </c>
      <c r="B203" s="283"/>
      <c r="C203" s="7"/>
      <c r="D203" s="7"/>
      <c r="E203" s="7"/>
      <c r="F203" s="7"/>
      <c r="G203" s="286"/>
      <c r="H203" s="59"/>
      <c r="J203" s="39">
        <v>400</v>
      </c>
      <c r="K203" s="39"/>
      <c r="AA203" s="64"/>
      <c r="AC203" s="157"/>
      <c r="AE203" s="42"/>
      <c r="AG203" s="155"/>
      <c r="AJ203" s="123"/>
      <c r="AK203" s="157"/>
      <c r="AM203" s="40"/>
    </row>
    <row r="204" spans="1:39" ht="15.75" customHeight="1" x14ac:dyDescent="0.25">
      <c r="A204" s="59" t="s">
        <v>728</v>
      </c>
      <c r="B204" s="283"/>
      <c r="C204" s="7"/>
      <c r="D204" s="7"/>
      <c r="E204" s="7"/>
      <c r="F204" s="7"/>
      <c r="G204" s="286"/>
      <c r="H204" s="59"/>
      <c r="J204" s="39">
        <v>2100</v>
      </c>
      <c r="K204" s="39"/>
      <c r="AA204" s="64"/>
      <c r="AC204" s="157"/>
      <c r="AE204" s="42"/>
      <c r="AG204" s="155"/>
      <c r="AJ204" s="123"/>
      <c r="AK204" s="157"/>
      <c r="AM204" s="40"/>
    </row>
    <row r="205" spans="1:39" ht="15.75" customHeight="1" x14ac:dyDescent="0.25">
      <c r="A205" s="59" t="s">
        <v>728</v>
      </c>
      <c r="B205" s="283"/>
      <c r="C205" s="7"/>
      <c r="D205" s="7"/>
      <c r="E205" s="7"/>
      <c r="F205" s="7"/>
      <c r="G205" s="286"/>
      <c r="H205" s="59"/>
      <c r="J205" s="39">
        <v>160</v>
      </c>
      <c r="K205" s="39"/>
      <c r="AA205" s="64"/>
      <c r="AC205" s="157"/>
      <c r="AE205" s="42"/>
      <c r="AG205" s="155"/>
      <c r="AJ205" s="123"/>
      <c r="AK205" s="157"/>
      <c r="AM205" s="40"/>
    </row>
    <row r="206" spans="1:39" ht="15.75" customHeight="1" x14ac:dyDescent="0.25">
      <c r="A206" s="59" t="s">
        <v>728</v>
      </c>
      <c r="B206" s="284"/>
      <c r="C206" s="43"/>
      <c r="D206" s="43"/>
      <c r="E206" s="43"/>
      <c r="F206" s="43"/>
      <c r="G206" s="287"/>
      <c r="H206" s="75"/>
      <c r="I206" s="44"/>
      <c r="J206" s="45">
        <v>800</v>
      </c>
      <c r="K206" s="45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121"/>
      <c r="AB206" s="47"/>
      <c r="AC206" s="158"/>
      <c r="AD206" s="44"/>
      <c r="AE206" s="46"/>
      <c r="AF206" s="44"/>
      <c r="AG206" s="153"/>
      <c r="AH206" s="55"/>
      <c r="AI206" s="44"/>
      <c r="AJ206" s="75"/>
      <c r="AK206" s="158"/>
      <c r="AL206" s="44"/>
      <c r="AM206" s="48"/>
    </row>
    <row r="207" spans="1:39" ht="15.75" customHeight="1" x14ac:dyDescent="0.25">
      <c r="A207" s="59" t="s">
        <v>728</v>
      </c>
      <c r="B207" s="282" t="s">
        <v>250</v>
      </c>
      <c r="C207" s="33"/>
      <c r="D207" s="33"/>
      <c r="E207" s="33"/>
      <c r="F207" s="33"/>
      <c r="G207" s="8">
        <v>56</v>
      </c>
      <c r="H207" s="81">
        <v>43831</v>
      </c>
      <c r="I207" s="79">
        <v>6190559</v>
      </c>
      <c r="J207" s="53">
        <v>18700</v>
      </c>
      <c r="K207" s="53">
        <v>18700</v>
      </c>
      <c r="L207" s="57">
        <v>44008</v>
      </c>
      <c r="M207" s="49">
        <v>3</v>
      </c>
      <c r="N207" s="57">
        <v>44011</v>
      </c>
      <c r="O207" s="49" t="s">
        <v>251</v>
      </c>
      <c r="P207" s="278">
        <v>6359738</v>
      </c>
      <c r="Q207" s="278" t="s">
        <v>251</v>
      </c>
      <c r="R207" s="278">
        <v>6359738</v>
      </c>
      <c r="S207" s="49">
        <v>6568985</v>
      </c>
      <c r="T207" s="57">
        <v>44055</v>
      </c>
      <c r="U207" s="49">
        <v>6571229</v>
      </c>
      <c r="V207" s="57">
        <v>44060</v>
      </c>
      <c r="W207" s="49">
        <v>6512291</v>
      </c>
      <c r="X207" s="49" t="s">
        <v>252</v>
      </c>
      <c r="Y207" s="49"/>
      <c r="Z207" s="49">
        <v>474</v>
      </c>
      <c r="AA207" s="122">
        <v>6280390</v>
      </c>
      <c r="AB207" s="50">
        <v>44025</v>
      </c>
      <c r="AC207" s="156">
        <v>20085</v>
      </c>
      <c r="AD207" s="49" t="s">
        <v>253</v>
      </c>
      <c r="AE207" s="56">
        <v>5943251</v>
      </c>
      <c r="AF207" s="57">
        <v>44004</v>
      </c>
      <c r="AG207" s="152">
        <v>18700</v>
      </c>
      <c r="AH207" s="278" t="s">
        <v>254</v>
      </c>
      <c r="AI207" s="278">
        <v>6978609</v>
      </c>
      <c r="AJ207" s="280">
        <v>44097</v>
      </c>
      <c r="AK207" s="308">
        <v>25035</v>
      </c>
      <c r="AL207" s="49"/>
      <c r="AM207" s="315" t="s">
        <v>59</v>
      </c>
    </row>
    <row r="208" spans="1:39" ht="15.75" customHeight="1" x14ac:dyDescent="0.25">
      <c r="A208" s="59" t="s">
        <v>728</v>
      </c>
      <c r="B208" s="283"/>
      <c r="C208" s="7"/>
      <c r="D208" s="7"/>
      <c r="E208" s="7"/>
      <c r="F208" s="85"/>
      <c r="G208" s="275">
        <v>57</v>
      </c>
      <c r="H208" s="274">
        <v>43831</v>
      </c>
      <c r="I208" s="275">
        <v>6190592</v>
      </c>
      <c r="J208" s="39">
        <v>18000</v>
      </c>
      <c r="K208" s="273">
        <v>25035</v>
      </c>
      <c r="L208" s="274">
        <v>44008</v>
      </c>
      <c r="M208" s="275">
        <v>3</v>
      </c>
      <c r="N208" s="274">
        <f>L208+M208</f>
        <v>44011</v>
      </c>
      <c r="P208" s="271"/>
      <c r="Q208" s="271"/>
      <c r="R208" s="271"/>
      <c r="Z208" s="58">
        <v>475</v>
      </c>
      <c r="AA208" s="64">
        <v>6280390</v>
      </c>
      <c r="AB208" s="38">
        <v>44025</v>
      </c>
      <c r="AC208" s="157">
        <v>4950</v>
      </c>
      <c r="AD208" s="58" t="s">
        <v>255</v>
      </c>
      <c r="AE208" s="42">
        <v>5943280</v>
      </c>
      <c r="AF208" s="59">
        <v>44004</v>
      </c>
      <c r="AG208" s="155">
        <v>20085</v>
      </c>
      <c r="AH208" s="301"/>
      <c r="AI208" s="271"/>
      <c r="AJ208" s="271"/>
      <c r="AK208" s="309"/>
      <c r="AM208" s="316"/>
    </row>
    <row r="209" spans="1:39" ht="15.75" customHeight="1" x14ac:dyDescent="0.25">
      <c r="A209" s="59" t="s">
        <v>728</v>
      </c>
      <c r="B209" s="283"/>
      <c r="C209" s="7"/>
      <c r="D209" s="7"/>
      <c r="E209" s="7"/>
      <c r="F209" s="85"/>
      <c r="G209" s="271"/>
      <c r="H209" s="271"/>
      <c r="I209" s="271"/>
      <c r="J209" s="39">
        <v>695</v>
      </c>
      <c r="K209" s="271"/>
      <c r="L209" s="271"/>
      <c r="M209" s="271"/>
      <c r="N209" s="271"/>
      <c r="P209" s="271"/>
      <c r="Q209" s="271"/>
      <c r="R209" s="271"/>
      <c r="Z209" s="58">
        <v>11668</v>
      </c>
      <c r="AA209" s="64">
        <v>6422470</v>
      </c>
      <c r="AB209" s="38">
        <v>44020</v>
      </c>
      <c r="AC209" s="157">
        <v>4450</v>
      </c>
      <c r="AD209" s="58" t="s">
        <v>256</v>
      </c>
      <c r="AE209" s="42">
        <v>5943327</v>
      </c>
      <c r="AF209" s="59">
        <v>44004</v>
      </c>
      <c r="AG209" s="155">
        <v>4950</v>
      </c>
      <c r="AH209" s="26" t="s">
        <v>257</v>
      </c>
      <c r="AI209" s="26">
        <v>6934352</v>
      </c>
      <c r="AJ209" s="27">
        <v>44096</v>
      </c>
      <c r="AK209" s="155">
        <v>4450</v>
      </c>
      <c r="AM209" s="40" t="s">
        <v>59</v>
      </c>
    </row>
    <row r="210" spans="1:39" ht="15.75" customHeight="1" x14ac:dyDescent="0.25">
      <c r="A210" s="59" t="s">
        <v>728</v>
      </c>
      <c r="B210" s="283"/>
      <c r="C210" s="7"/>
      <c r="D210" s="7"/>
      <c r="E210" s="7"/>
      <c r="F210" s="85"/>
      <c r="G210" s="271"/>
      <c r="H210" s="271"/>
      <c r="I210" s="271"/>
      <c r="J210" s="39">
        <v>1390</v>
      </c>
      <c r="K210" s="271"/>
      <c r="L210" s="271"/>
      <c r="M210" s="271"/>
      <c r="N210" s="271"/>
      <c r="P210" s="271"/>
      <c r="Q210" s="271"/>
      <c r="R210" s="271"/>
      <c r="Z210" s="58">
        <v>141</v>
      </c>
      <c r="AA210" s="64">
        <v>6456391</v>
      </c>
      <c r="AB210" s="38">
        <v>44042</v>
      </c>
      <c r="AC210" s="157">
        <v>3900</v>
      </c>
      <c r="AD210" s="58" t="s">
        <v>258</v>
      </c>
      <c r="AE210" s="42">
        <v>5943365</v>
      </c>
      <c r="AF210" s="59">
        <v>44004</v>
      </c>
      <c r="AG210" s="155">
        <v>4450</v>
      </c>
      <c r="AH210" s="26" t="s">
        <v>259</v>
      </c>
      <c r="AI210" s="26">
        <v>7011948</v>
      </c>
      <c r="AJ210" s="27">
        <v>44098</v>
      </c>
      <c r="AK210" s="155">
        <v>3900</v>
      </c>
      <c r="AM210" s="40" t="s">
        <v>59</v>
      </c>
    </row>
    <row r="211" spans="1:39" ht="15.75" customHeight="1" x14ac:dyDescent="0.25">
      <c r="A211" s="59" t="s">
        <v>728</v>
      </c>
      <c r="B211" s="283"/>
      <c r="C211" s="7"/>
      <c r="D211" s="7"/>
      <c r="E211" s="7"/>
      <c r="F211" s="85"/>
      <c r="G211" s="271"/>
      <c r="H211" s="271"/>
      <c r="I211" s="271"/>
      <c r="J211" s="39">
        <v>4950</v>
      </c>
      <c r="K211" s="271"/>
      <c r="L211" s="271"/>
      <c r="M211" s="271"/>
      <c r="N211" s="271"/>
      <c r="P211" s="271"/>
      <c r="Q211" s="271"/>
      <c r="R211" s="271"/>
      <c r="Z211" s="58">
        <v>9440</v>
      </c>
      <c r="AA211" s="64">
        <v>6512121</v>
      </c>
      <c r="AB211" s="38">
        <v>44035</v>
      </c>
      <c r="AC211" s="157">
        <v>18700</v>
      </c>
      <c r="AD211" s="58" t="s">
        <v>260</v>
      </c>
      <c r="AE211" s="42">
        <v>5943412</v>
      </c>
      <c r="AF211" s="59">
        <v>44004</v>
      </c>
      <c r="AG211" s="155">
        <v>3900</v>
      </c>
      <c r="AH211" s="26" t="s">
        <v>261</v>
      </c>
      <c r="AI211" s="26">
        <v>7021927</v>
      </c>
      <c r="AJ211" s="27">
        <v>44104</v>
      </c>
      <c r="AK211" s="155">
        <v>18700</v>
      </c>
      <c r="AM211" s="40" t="s">
        <v>59</v>
      </c>
    </row>
    <row r="212" spans="1:39" ht="15.75" customHeight="1" x14ac:dyDescent="0.25">
      <c r="A212" s="59" t="s">
        <v>728</v>
      </c>
      <c r="B212" s="283"/>
      <c r="C212" s="7"/>
      <c r="D212" s="7"/>
      <c r="E212" s="7"/>
      <c r="F212" s="7"/>
      <c r="G212" s="26">
        <v>58</v>
      </c>
      <c r="H212" s="84">
        <v>43831</v>
      </c>
      <c r="I212" s="58">
        <v>6190623</v>
      </c>
      <c r="J212" s="39">
        <v>4450</v>
      </c>
      <c r="K212" s="39">
        <v>4450</v>
      </c>
      <c r="L212" s="59">
        <v>44008</v>
      </c>
      <c r="M212" s="58">
        <v>3</v>
      </c>
      <c r="N212" s="59">
        <v>44011</v>
      </c>
      <c r="O212" s="86" t="s">
        <v>262</v>
      </c>
      <c r="P212" s="58">
        <v>6465436</v>
      </c>
      <c r="Q212" s="86" t="s">
        <v>262</v>
      </c>
      <c r="R212" s="58">
        <v>6465436</v>
      </c>
      <c r="S212" s="58">
        <v>6423593</v>
      </c>
      <c r="T212" s="59">
        <v>44038</v>
      </c>
      <c r="U212" s="58">
        <v>6423614</v>
      </c>
      <c r="V212" s="59">
        <v>44043</v>
      </c>
      <c r="AA212" s="64"/>
      <c r="AC212" s="157"/>
      <c r="AD212" s="58" t="s">
        <v>263</v>
      </c>
      <c r="AE212" s="42">
        <v>6539981</v>
      </c>
      <c r="AF212" s="59">
        <v>44057</v>
      </c>
      <c r="AG212" s="155">
        <v>4450</v>
      </c>
      <c r="AJ212" s="123"/>
      <c r="AK212" s="157"/>
      <c r="AM212" s="40"/>
    </row>
    <row r="213" spans="1:39" ht="15.75" customHeight="1" x14ac:dyDescent="0.25">
      <c r="A213" s="59" t="s">
        <v>728</v>
      </c>
      <c r="B213" s="283"/>
      <c r="C213" s="7"/>
      <c r="D213" s="7"/>
      <c r="E213" s="7"/>
      <c r="F213" s="7"/>
      <c r="G213" s="292">
        <v>59</v>
      </c>
      <c r="H213" s="274">
        <v>43831</v>
      </c>
      <c r="I213" s="58">
        <v>6190678</v>
      </c>
      <c r="J213" s="39">
        <v>3900</v>
      </c>
      <c r="K213" s="39">
        <v>3900</v>
      </c>
      <c r="L213" s="59">
        <v>44008</v>
      </c>
      <c r="M213" s="58">
        <v>3</v>
      </c>
      <c r="N213" s="59">
        <v>44011</v>
      </c>
      <c r="O213" s="37" t="s">
        <v>264</v>
      </c>
      <c r="P213" s="58">
        <v>6465557</v>
      </c>
      <c r="Q213" s="37" t="s">
        <v>264</v>
      </c>
      <c r="R213" s="58">
        <v>6465557</v>
      </c>
      <c r="S213" s="58">
        <v>6429970</v>
      </c>
      <c r="T213" s="59">
        <v>44043</v>
      </c>
      <c r="U213" s="58">
        <v>6429928</v>
      </c>
      <c r="V213" s="59">
        <v>44048</v>
      </c>
      <c r="AA213" s="64"/>
      <c r="AC213" s="157"/>
      <c r="AD213" s="58" t="s">
        <v>265</v>
      </c>
      <c r="AE213" s="42">
        <v>6540101</v>
      </c>
      <c r="AF213" s="59">
        <v>44057</v>
      </c>
      <c r="AG213" s="155">
        <v>3900</v>
      </c>
      <c r="AJ213" s="123"/>
      <c r="AK213" s="157"/>
      <c r="AM213" s="40"/>
    </row>
    <row r="214" spans="1:39" ht="15.75" customHeight="1" x14ac:dyDescent="0.25">
      <c r="A214" s="59" t="s">
        <v>728</v>
      </c>
      <c r="B214" s="283"/>
      <c r="C214" s="7"/>
      <c r="D214" s="7"/>
      <c r="E214" s="7"/>
      <c r="F214" s="7"/>
      <c r="G214" s="286"/>
      <c r="H214" s="271"/>
      <c r="J214" s="39"/>
      <c r="K214" s="39"/>
      <c r="AA214" s="64"/>
      <c r="AC214" s="157"/>
      <c r="AD214" s="58" t="s">
        <v>266</v>
      </c>
      <c r="AE214" s="42">
        <v>6540210</v>
      </c>
      <c r="AF214" s="59">
        <v>44057</v>
      </c>
      <c r="AG214" s="155">
        <v>4450</v>
      </c>
      <c r="AJ214" s="123"/>
      <c r="AK214" s="157"/>
      <c r="AM214" s="40"/>
    </row>
    <row r="215" spans="1:39" ht="15.75" customHeight="1" x14ac:dyDescent="0.25">
      <c r="A215" s="59" t="s">
        <v>728</v>
      </c>
      <c r="B215" s="283"/>
      <c r="C215" s="7"/>
      <c r="D215" s="7"/>
      <c r="E215" s="7"/>
      <c r="F215" s="7"/>
      <c r="G215" s="286"/>
      <c r="H215" s="271"/>
      <c r="J215" s="39"/>
      <c r="K215" s="39"/>
      <c r="AA215" s="64"/>
      <c r="AC215" s="157"/>
      <c r="AD215" s="58" t="s">
        <v>267</v>
      </c>
      <c r="AE215" s="42">
        <v>6540321</v>
      </c>
      <c r="AF215" s="59">
        <v>44057</v>
      </c>
      <c r="AG215" s="155">
        <v>3900</v>
      </c>
      <c r="AJ215" s="123"/>
      <c r="AK215" s="157"/>
      <c r="AM215" s="40"/>
    </row>
    <row r="216" spans="1:39" ht="15.75" customHeight="1" x14ac:dyDescent="0.25">
      <c r="A216" s="59" t="s">
        <v>728</v>
      </c>
      <c r="B216" s="283"/>
      <c r="C216" s="7"/>
      <c r="D216" s="7"/>
      <c r="E216" s="7"/>
      <c r="F216" s="7"/>
      <c r="G216" s="286"/>
      <c r="H216" s="271"/>
      <c r="J216" s="39"/>
      <c r="K216" s="39"/>
      <c r="AA216" s="64"/>
      <c r="AC216" s="157"/>
      <c r="AD216" s="58" t="s">
        <v>268</v>
      </c>
      <c r="AE216" s="42">
        <v>6586512</v>
      </c>
      <c r="AF216" s="59">
        <v>44057</v>
      </c>
      <c r="AG216" s="155">
        <v>18700</v>
      </c>
      <c r="AJ216" s="123"/>
      <c r="AK216" s="157"/>
      <c r="AM216" s="40"/>
    </row>
    <row r="217" spans="1:39" ht="15.75" customHeight="1" x14ac:dyDescent="0.25">
      <c r="A217" s="59" t="s">
        <v>728</v>
      </c>
      <c r="B217" s="283"/>
      <c r="C217" s="7"/>
      <c r="D217" s="7"/>
      <c r="E217" s="7"/>
      <c r="F217" s="7"/>
      <c r="G217" s="286"/>
      <c r="H217" s="271"/>
      <c r="J217" s="39"/>
      <c r="K217" s="39"/>
      <c r="AA217" s="64"/>
      <c r="AC217" s="157"/>
      <c r="AD217" s="58" t="s">
        <v>269</v>
      </c>
      <c r="AE217" s="42">
        <v>6586942</v>
      </c>
      <c r="AF217" s="59">
        <v>44062</v>
      </c>
      <c r="AG217" s="155">
        <v>18700</v>
      </c>
      <c r="AJ217" s="123"/>
      <c r="AK217" s="157"/>
      <c r="AM217" s="40"/>
    </row>
    <row r="218" spans="1:39" ht="15.75" customHeight="1" x14ac:dyDescent="0.25">
      <c r="A218" s="59" t="s">
        <v>728</v>
      </c>
      <c r="B218" s="283"/>
      <c r="C218" s="7"/>
      <c r="D218" s="7"/>
      <c r="E218" s="7"/>
      <c r="F218" s="7"/>
      <c r="G218" s="286"/>
      <c r="H218" s="271"/>
      <c r="J218" s="39"/>
      <c r="K218" s="39"/>
      <c r="AA218" s="64"/>
      <c r="AC218" s="157"/>
      <c r="AD218" s="58" t="s">
        <v>270</v>
      </c>
      <c r="AE218" s="42">
        <v>6868509</v>
      </c>
      <c r="AF218" s="59">
        <v>44089</v>
      </c>
      <c r="AG218" s="155">
        <v>18700</v>
      </c>
      <c r="AJ218" s="123"/>
      <c r="AK218" s="157"/>
      <c r="AM218" s="40"/>
    </row>
    <row r="219" spans="1:39" ht="15.75" customHeight="1" x14ac:dyDescent="0.25">
      <c r="A219" s="59" t="s">
        <v>728</v>
      </c>
      <c r="B219" s="283"/>
      <c r="C219" s="7"/>
      <c r="D219" s="7"/>
      <c r="E219" s="7"/>
      <c r="F219" s="7"/>
      <c r="G219" s="286"/>
      <c r="H219" s="271"/>
      <c r="J219" s="39"/>
      <c r="K219" s="39"/>
      <c r="AA219" s="64"/>
      <c r="AC219" s="157"/>
      <c r="AD219" s="58" t="s">
        <v>271</v>
      </c>
      <c r="AE219" s="42">
        <v>6868539</v>
      </c>
      <c r="AF219" s="59">
        <v>44089</v>
      </c>
      <c r="AG219" s="155">
        <v>4450</v>
      </c>
      <c r="AJ219" s="123"/>
      <c r="AK219" s="157"/>
      <c r="AM219" s="40"/>
    </row>
    <row r="220" spans="1:39" ht="15.75" customHeight="1" x14ac:dyDescent="0.25">
      <c r="A220" s="59" t="s">
        <v>728</v>
      </c>
      <c r="B220" s="283"/>
      <c r="C220" s="7"/>
      <c r="D220" s="7"/>
      <c r="E220" s="7"/>
      <c r="F220" s="7"/>
      <c r="G220" s="286"/>
      <c r="H220" s="271"/>
      <c r="J220" s="39"/>
      <c r="K220" s="39"/>
      <c r="AA220" s="64"/>
      <c r="AC220" s="157"/>
      <c r="AD220" s="58" t="s">
        <v>272</v>
      </c>
      <c r="AE220" s="42">
        <v>6868582</v>
      </c>
      <c r="AF220" s="59">
        <v>44089</v>
      </c>
      <c r="AG220" s="155">
        <v>3900</v>
      </c>
      <c r="AJ220" s="123"/>
      <c r="AK220" s="157"/>
      <c r="AM220" s="40"/>
    </row>
    <row r="221" spans="1:39" ht="15.75" customHeight="1" x14ac:dyDescent="0.25">
      <c r="A221" s="59" t="s">
        <v>728</v>
      </c>
      <c r="B221" s="283"/>
      <c r="C221" s="7"/>
      <c r="D221" s="7"/>
      <c r="E221" s="7"/>
      <c r="F221" s="7"/>
      <c r="G221" s="286"/>
      <c r="H221" s="271"/>
      <c r="J221" s="39"/>
      <c r="K221" s="39"/>
      <c r="AA221" s="64"/>
      <c r="AC221" s="157"/>
      <c r="AD221" s="58" t="s">
        <v>273</v>
      </c>
      <c r="AE221" s="42">
        <v>6868634</v>
      </c>
      <c r="AF221" s="59">
        <v>44089</v>
      </c>
      <c r="AG221" s="155">
        <v>18700</v>
      </c>
      <c r="AJ221" s="123"/>
      <c r="AK221" s="157"/>
      <c r="AM221" s="40"/>
    </row>
    <row r="222" spans="1:39" ht="15.75" customHeight="1" x14ac:dyDescent="0.25">
      <c r="A222" s="59" t="s">
        <v>728</v>
      </c>
      <c r="B222" s="283"/>
      <c r="C222" s="7"/>
      <c r="D222" s="7"/>
      <c r="E222" s="7"/>
      <c r="F222" s="7"/>
      <c r="G222" s="286"/>
      <c r="H222" s="271"/>
      <c r="J222" s="39"/>
      <c r="K222" s="39"/>
      <c r="AA222" s="64"/>
      <c r="AC222" s="157"/>
      <c r="AD222" s="58" t="s">
        <v>274</v>
      </c>
      <c r="AE222" s="42">
        <v>6868689</v>
      </c>
      <c r="AF222" s="59">
        <v>44089</v>
      </c>
      <c r="AG222" s="155">
        <v>4450</v>
      </c>
      <c r="AJ222" s="123"/>
      <c r="AK222" s="157"/>
      <c r="AM222" s="40"/>
    </row>
    <row r="223" spans="1:39" ht="15.75" customHeight="1" x14ac:dyDescent="0.25">
      <c r="A223" s="59" t="s">
        <v>728</v>
      </c>
      <c r="B223" s="284"/>
      <c r="C223" s="43"/>
      <c r="D223" s="43"/>
      <c r="E223" s="43"/>
      <c r="F223" s="43"/>
      <c r="G223" s="287"/>
      <c r="H223" s="271"/>
      <c r="I223" s="44"/>
      <c r="J223" s="45"/>
      <c r="K223" s="45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121"/>
      <c r="AB223" s="47"/>
      <c r="AC223" s="158"/>
      <c r="AD223" s="44" t="s">
        <v>275</v>
      </c>
      <c r="AE223" s="46">
        <v>6868752</v>
      </c>
      <c r="AF223" s="75">
        <v>44089</v>
      </c>
      <c r="AG223" s="153">
        <v>3900</v>
      </c>
      <c r="AH223" s="55"/>
      <c r="AI223" s="44"/>
      <c r="AJ223" s="75"/>
      <c r="AK223" s="158"/>
      <c r="AL223" s="44"/>
      <c r="AM223" s="48"/>
    </row>
    <row r="224" spans="1:39" ht="15.75" customHeight="1" x14ac:dyDescent="0.25">
      <c r="A224" s="59" t="s">
        <v>728</v>
      </c>
      <c r="B224" s="314" t="s">
        <v>276</v>
      </c>
      <c r="C224" s="33"/>
      <c r="D224" s="33"/>
      <c r="E224" s="33"/>
      <c r="F224" s="33"/>
      <c r="G224" s="8">
        <v>29</v>
      </c>
      <c r="H224" s="59">
        <v>43831</v>
      </c>
      <c r="I224" s="49">
        <v>5782102</v>
      </c>
      <c r="J224" s="53">
        <v>11.5</v>
      </c>
      <c r="K224" s="53">
        <v>17250</v>
      </c>
      <c r="L224" s="57">
        <v>43983</v>
      </c>
      <c r="M224" s="49">
        <v>3</v>
      </c>
      <c r="N224" s="57">
        <f>L224+M224</f>
        <v>43986</v>
      </c>
      <c r="O224" s="278" t="s">
        <v>277</v>
      </c>
      <c r="P224" s="278">
        <v>5862937</v>
      </c>
      <c r="Q224" s="278" t="s">
        <v>277</v>
      </c>
      <c r="R224" s="278">
        <v>5862937</v>
      </c>
      <c r="S224" s="49">
        <v>5891746</v>
      </c>
      <c r="T224" s="57">
        <v>43997</v>
      </c>
      <c r="U224" s="49">
        <v>5891759</v>
      </c>
      <c r="V224" s="57">
        <v>43998</v>
      </c>
      <c r="W224" s="49"/>
      <c r="X224" s="49"/>
      <c r="Y224" s="49"/>
      <c r="Z224" s="49">
        <v>11019</v>
      </c>
      <c r="AA224" s="122">
        <v>5891770</v>
      </c>
      <c r="AB224" s="50">
        <v>43987</v>
      </c>
      <c r="AC224" s="156">
        <v>20000</v>
      </c>
      <c r="AD224" s="49" t="s">
        <v>278</v>
      </c>
      <c r="AE224" s="56">
        <v>5725941</v>
      </c>
      <c r="AF224" s="57">
        <v>43980</v>
      </c>
      <c r="AG224" s="152">
        <v>20000</v>
      </c>
      <c r="AH224" s="35" t="s">
        <v>279</v>
      </c>
      <c r="AI224" s="49">
        <v>7777145</v>
      </c>
      <c r="AJ224" s="57">
        <v>44118</v>
      </c>
      <c r="AK224" s="156">
        <v>20000</v>
      </c>
      <c r="AL224" s="49"/>
      <c r="AM224" s="36" t="s">
        <v>59</v>
      </c>
    </row>
    <row r="225" spans="1:39" ht="15.75" customHeight="1" x14ac:dyDescent="0.25">
      <c r="A225" s="59" t="s">
        <v>728</v>
      </c>
      <c r="B225" s="284"/>
      <c r="C225" s="43"/>
      <c r="D225" s="43"/>
      <c r="E225" s="43"/>
      <c r="F225" s="43"/>
      <c r="G225" s="87">
        <v>28</v>
      </c>
      <c r="H225" s="59">
        <v>43831</v>
      </c>
      <c r="I225" s="44">
        <v>5799071</v>
      </c>
      <c r="J225" s="45">
        <v>2.5</v>
      </c>
      <c r="K225" s="45">
        <v>20000</v>
      </c>
      <c r="L225" s="75">
        <v>43983</v>
      </c>
      <c r="M225" s="44">
        <v>3</v>
      </c>
      <c r="N225" s="59">
        <f>L225+M225</f>
        <v>43986</v>
      </c>
      <c r="O225" s="279"/>
      <c r="P225" s="279"/>
      <c r="Q225" s="279"/>
      <c r="R225" s="279"/>
      <c r="S225" s="44">
        <v>7395641</v>
      </c>
      <c r="T225" s="75">
        <v>44109</v>
      </c>
      <c r="U225" s="44">
        <v>7395665</v>
      </c>
      <c r="V225" s="75">
        <v>44111</v>
      </c>
      <c r="W225" s="44"/>
      <c r="X225" s="44"/>
      <c r="Y225" s="44"/>
      <c r="Z225" s="44">
        <v>8148</v>
      </c>
      <c r="AA225" s="121">
        <v>5989398</v>
      </c>
      <c r="AB225" s="47">
        <v>44000</v>
      </c>
      <c r="AC225" s="158">
        <v>17250</v>
      </c>
      <c r="AD225" s="44" t="s">
        <v>280</v>
      </c>
      <c r="AE225" s="46">
        <v>5725964</v>
      </c>
      <c r="AF225" s="75">
        <v>43980</v>
      </c>
      <c r="AG225" s="153">
        <v>17250</v>
      </c>
      <c r="AH225" s="55"/>
      <c r="AI225" s="44">
        <v>7777223</v>
      </c>
      <c r="AJ225" s="75">
        <v>44145</v>
      </c>
      <c r="AK225" s="158">
        <v>17250</v>
      </c>
      <c r="AL225" s="44"/>
      <c r="AM225" s="48" t="s">
        <v>59</v>
      </c>
    </row>
    <row r="226" spans="1:39" ht="15.75" customHeight="1" x14ac:dyDescent="0.25">
      <c r="A226" s="59" t="s">
        <v>728</v>
      </c>
      <c r="B226" s="282" t="s">
        <v>281</v>
      </c>
      <c r="C226" s="33"/>
      <c r="D226" s="33"/>
      <c r="E226" s="33"/>
      <c r="F226" s="289" t="s">
        <v>35</v>
      </c>
      <c r="G226" s="285">
        <v>39</v>
      </c>
      <c r="H226" s="280">
        <v>44197</v>
      </c>
      <c r="I226" s="278">
        <v>10791538</v>
      </c>
      <c r="J226" s="51">
        <v>1.56</v>
      </c>
      <c r="K226" s="272">
        <v>43160</v>
      </c>
      <c r="L226" s="280">
        <v>44452</v>
      </c>
      <c r="M226" s="278">
        <v>120</v>
      </c>
      <c r="N226" s="280">
        <f>L226+M226</f>
        <v>44572</v>
      </c>
      <c r="O226" s="270"/>
      <c r="P226" s="270"/>
      <c r="Q226" s="270"/>
      <c r="R226" s="270"/>
      <c r="S226" s="49"/>
      <c r="T226" s="49"/>
      <c r="U226" s="49"/>
      <c r="V226" s="49"/>
      <c r="W226" s="49"/>
      <c r="X226" s="49"/>
      <c r="Y226" s="49"/>
      <c r="Z226" s="49">
        <v>330</v>
      </c>
      <c r="AA226" s="122">
        <v>13565463</v>
      </c>
      <c r="AB226" s="50">
        <v>44592</v>
      </c>
      <c r="AC226" s="156">
        <v>7000</v>
      </c>
      <c r="AD226" s="49" t="s">
        <v>282</v>
      </c>
      <c r="AE226" s="56">
        <v>10330641</v>
      </c>
      <c r="AF226" s="57">
        <v>44390</v>
      </c>
      <c r="AG226" s="152">
        <v>43160</v>
      </c>
      <c r="AH226" s="35" t="s">
        <v>283</v>
      </c>
      <c r="AI226" s="49">
        <v>13861859</v>
      </c>
      <c r="AJ226" s="57">
        <v>44650</v>
      </c>
      <c r="AK226" s="156">
        <v>7000</v>
      </c>
      <c r="AL226" s="49"/>
      <c r="AM226" s="36" t="s">
        <v>59</v>
      </c>
    </row>
    <row r="227" spans="1:39" ht="15.75" customHeight="1" x14ac:dyDescent="0.25">
      <c r="A227" s="59" t="s">
        <v>728</v>
      </c>
      <c r="B227" s="283"/>
      <c r="C227" s="7"/>
      <c r="D227" s="7"/>
      <c r="E227" s="7"/>
      <c r="F227" s="294"/>
      <c r="G227" s="286"/>
      <c r="H227" s="271"/>
      <c r="I227" s="271"/>
      <c r="J227" s="54">
        <v>1.37</v>
      </c>
      <c r="K227" s="271"/>
      <c r="L227" s="271"/>
      <c r="M227" s="271"/>
      <c r="N227" s="271"/>
      <c r="O227" s="271"/>
      <c r="P227" s="271"/>
      <c r="Q227" s="271"/>
      <c r="R227" s="271"/>
      <c r="AA227" s="64"/>
      <c r="AC227" s="157"/>
      <c r="AD227" s="58" t="s">
        <v>284</v>
      </c>
      <c r="AE227" s="42">
        <v>10330676</v>
      </c>
      <c r="AF227" s="59">
        <v>44390</v>
      </c>
      <c r="AG227" s="155">
        <v>9696.32</v>
      </c>
      <c r="AJ227" s="123"/>
      <c r="AK227" s="157"/>
      <c r="AM227" s="40"/>
    </row>
    <row r="228" spans="1:39" ht="15.75" customHeight="1" x14ac:dyDescent="0.25">
      <c r="A228" s="59" t="s">
        <v>728</v>
      </c>
      <c r="B228" s="283"/>
      <c r="C228" s="7"/>
      <c r="D228" s="7"/>
      <c r="E228" s="7"/>
      <c r="F228" s="294"/>
      <c r="G228" s="286"/>
      <c r="H228" s="271"/>
      <c r="I228" s="271"/>
      <c r="J228" s="54">
        <v>0.17</v>
      </c>
      <c r="K228" s="271"/>
      <c r="L228" s="271"/>
      <c r="M228" s="271"/>
      <c r="N228" s="271"/>
      <c r="O228" s="271"/>
      <c r="P228" s="271"/>
      <c r="Q228" s="271"/>
      <c r="R228" s="271"/>
      <c r="AA228" s="64"/>
      <c r="AC228" s="157"/>
      <c r="AD228" s="58" t="s">
        <v>285</v>
      </c>
      <c r="AE228" s="42">
        <v>10330697</v>
      </c>
      <c r="AF228" s="59">
        <v>44390</v>
      </c>
      <c r="AG228" s="155">
        <v>20620</v>
      </c>
      <c r="AJ228" s="123"/>
      <c r="AK228" s="157"/>
      <c r="AM228" s="40"/>
    </row>
    <row r="229" spans="1:39" ht="15.75" customHeight="1" x14ac:dyDescent="0.25">
      <c r="A229" s="59" t="s">
        <v>728</v>
      </c>
      <c r="B229" s="283"/>
      <c r="C229" s="7"/>
      <c r="D229" s="7"/>
      <c r="E229" s="7"/>
      <c r="F229" s="294"/>
      <c r="G229" s="286"/>
      <c r="H229" s="271"/>
      <c r="I229" s="271"/>
      <c r="J229" s="54">
        <v>1.43</v>
      </c>
      <c r="K229" s="271"/>
      <c r="L229" s="271"/>
      <c r="M229" s="271"/>
      <c r="N229" s="271"/>
      <c r="O229" s="271"/>
      <c r="P229" s="271"/>
      <c r="Q229" s="271"/>
      <c r="R229" s="271"/>
      <c r="AA229" s="64"/>
      <c r="AC229" s="157"/>
      <c r="AD229" s="58" t="s">
        <v>286</v>
      </c>
      <c r="AE229" s="42">
        <v>10330715</v>
      </c>
      <c r="AF229" s="59">
        <v>44390</v>
      </c>
      <c r="AG229" s="155">
        <v>500</v>
      </c>
      <c r="AJ229" s="123"/>
      <c r="AK229" s="157"/>
      <c r="AM229" s="40"/>
    </row>
    <row r="230" spans="1:39" ht="15.75" customHeight="1" x14ac:dyDescent="0.25">
      <c r="A230" s="59" t="s">
        <v>728</v>
      </c>
      <c r="B230" s="283"/>
      <c r="C230" s="7"/>
      <c r="D230" s="7"/>
      <c r="E230" s="7"/>
      <c r="F230" s="294"/>
      <c r="G230" s="286"/>
      <c r="H230" s="271"/>
      <c r="I230" s="271"/>
      <c r="J230" s="54">
        <v>0.14000000000000001</v>
      </c>
      <c r="K230" s="271"/>
      <c r="L230" s="271"/>
      <c r="M230" s="271"/>
      <c r="N230" s="271"/>
      <c r="O230" s="271"/>
      <c r="P230" s="271"/>
      <c r="Q230" s="271"/>
      <c r="R230" s="271"/>
      <c r="AA230" s="64"/>
      <c r="AC230" s="157"/>
      <c r="AD230" s="58" t="s">
        <v>287</v>
      </c>
      <c r="AE230" s="42">
        <v>10330743</v>
      </c>
      <c r="AF230" s="59">
        <v>44390</v>
      </c>
      <c r="AG230" s="155">
        <v>400</v>
      </c>
      <c r="AJ230" s="123"/>
      <c r="AK230" s="157"/>
      <c r="AM230" s="40"/>
    </row>
    <row r="231" spans="1:39" ht="15.75" customHeight="1" x14ac:dyDescent="0.25">
      <c r="A231" s="59" t="s">
        <v>728</v>
      </c>
      <c r="B231" s="283"/>
      <c r="C231" s="7"/>
      <c r="D231" s="7"/>
      <c r="E231" s="7"/>
      <c r="F231" s="294"/>
      <c r="G231" s="286"/>
      <c r="H231" s="271"/>
      <c r="I231" s="271"/>
      <c r="J231" s="54">
        <v>0.63</v>
      </c>
      <c r="K231" s="271"/>
      <c r="L231" s="271"/>
      <c r="M231" s="271"/>
      <c r="N231" s="271"/>
      <c r="O231" s="271"/>
      <c r="P231" s="271"/>
      <c r="Q231" s="271"/>
      <c r="R231" s="271"/>
      <c r="AA231" s="64"/>
      <c r="AC231" s="157"/>
      <c r="AD231" s="58" t="s">
        <v>288</v>
      </c>
      <c r="AE231" s="42">
        <v>10330769</v>
      </c>
      <c r="AF231" s="59">
        <v>44390</v>
      </c>
      <c r="AG231" s="155">
        <v>14000</v>
      </c>
      <c r="AJ231" s="123"/>
      <c r="AK231" s="157"/>
      <c r="AM231" s="40"/>
    </row>
    <row r="232" spans="1:39" ht="15.75" customHeight="1" x14ac:dyDescent="0.25">
      <c r="A232" s="59" t="s">
        <v>728</v>
      </c>
      <c r="B232" s="283"/>
      <c r="C232" s="7"/>
      <c r="D232" s="7"/>
      <c r="E232" s="7"/>
      <c r="F232" s="294"/>
      <c r="G232" s="26">
        <v>40</v>
      </c>
      <c r="H232" s="38">
        <v>44197</v>
      </c>
      <c r="I232" s="37">
        <v>10893148</v>
      </c>
      <c r="J232" s="54">
        <v>1.93</v>
      </c>
      <c r="K232" s="54">
        <v>9696.32</v>
      </c>
      <c r="L232" s="38">
        <v>44435</v>
      </c>
      <c r="M232" s="37">
        <v>120</v>
      </c>
      <c r="N232" s="27">
        <f>L232+M232</f>
        <v>44555</v>
      </c>
      <c r="S232" s="58">
        <v>11570866</v>
      </c>
      <c r="T232" s="59">
        <v>44483</v>
      </c>
      <c r="U232" s="58">
        <v>11570990</v>
      </c>
      <c r="V232" s="59">
        <v>44484</v>
      </c>
      <c r="Z232" s="58">
        <v>29936</v>
      </c>
      <c r="AA232" s="64">
        <v>11550889</v>
      </c>
      <c r="AB232" s="38">
        <v>44461</v>
      </c>
      <c r="AC232" s="157">
        <v>9696.32</v>
      </c>
      <c r="AE232" s="42"/>
      <c r="AG232" s="155"/>
      <c r="AH232" s="169" t="s">
        <v>289</v>
      </c>
      <c r="AI232" s="58">
        <v>12007546</v>
      </c>
      <c r="AJ232" s="59">
        <v>44498</v>
      </c>
      <c r="AK232" s="157">
        <v>9696.32</v>
      </c>
      <c r="AM232" s="40" t="s">
        <v>59</v>
      </c>
    </row>
    <row r="233" spans="1:39" ht="15.75" customHeight="1" x14ac:dyDescent="0.25">
      <c r="A233" s="59" t="s">
        <v>728</v>
      </c>
      <c r="B233" s="283"/>
      <c r="C233" s="7"/>
      <c r="D233" s="7"/>
      <c r="E233" s="7"/>
      <c r="F233" s="294"/>
      <c r="G233" s="292">
        <v>41</v>
      </c>
      <c r="H233" s="274">
        <v>44197</v>
      </c>
      <c r="I233" s="275">
        <v>10792329</v>
      </c>
      <c r="J233" s="54">
        <v>1.9</v>
      </c>
      <c r="K233" s="273">
        <v>20620</v>
      </c>
      <c r="L233" s="274">
        <v>44438</v>
      </c>
      <c r="M233" s="275">
        <v>120</v>
      </c>
      <c r="N233" s="274">
        <f>L233+M233</f>
        <v>44558</v>
      </c>
      <c r="S233" s="58">
        <v>11548153</v>
      </c>
      <c r="T233" s="59">
        <v>44482</v>
      </c>
      <c r="U233" s="58">
        <v>11549303</v>
      </c>
      <c r="V233" s="59">
        <v>44484</v>
      </c>
      <c r="Z233" s="58">
        <v>348353</v>
      </c>
      <c r="AA233" s="64">
        <v>11547582</v>
      </c>
      <c r="AB233" s="38">
        <v>44452</v>
      </c>
      <c r="AC233" s="157">
        <v>10500</v>
      </c>
      <c r="AE233" s="42"/>
      <c r="AG233" s="155"/>
      <c r="AH233" s="169" t="s">
        <v>290</v>
      </c>
      <c r="AI233" s="58">
        <v>12007591</v>
      </c>
      <c r="AJ233" s="59">
        <v>44498</v>
      </c>
      <c r="AK233" s="157">
        <v>10500</v>
      </c>
      <c r="AM233" s="40" t="s">
        <v>59</v>
      </c>
    </row>
    <row r="234" spans="1:39" ht="15.75" customHeight="1" x14ac:dyDescent="0.25">
      <c r="A234" s="59" t="s">
        <v>728</v>
      </c>
      <c r="B234" s="283"/>
      <c r="C234" s="7"/>
      <c r="D234" s="7"/>
      <c r="E234" s="7"/>
      <c r="F234" s="294"/>
      <c r="G234" s="286"/>
      <c r="H234" s="271"/>
      <c r="I234" s="271"/>
      <c r="J234" s="54">
        <v>0.18</v>
      </c>
      <c r="K234" s="271"/>
      <c r="L234" s="271"/>
      <c r="M234" s="271"/>
      <c r="N234" s="271"/>
      <c r="S234" s="58">
        <v>12156319</v>
      </c>
      <c r="T234" s="59">
        <v>44525</v>
      </c>
      <c r="U234" s="58">
        <v>12156530</v>
      </c>
      <c r="V234" s="59">
        <v>44164</v>
      </c>
      <c r="Z234" s="58">
        <v>353787</v>
      </c>
      <c r="AA234" s="64">
        <v>12156256</v>
      </c>
      <c r="AB234" s="38">
        <v>44505</v>
      </c>
      <c r="AC234" s="157">
        <v>10120</v>
      </c>
      <c r="AE234" s="42"/>
      <c r="AG234" s="155"/>
      <c r="AH234" s="169" t="s">
        <v>291</v>
      </c>
      <c r="AI234" s="58">
        <v>12287232</v>
      </c>
      <c r="AJ234" s="59">
        <v>44531</v>
      </c>
      <c r="AK234" s="157">
        <v>10120</v>
      </c>
      <c r="AM234" s="40" t="s">
        <v>59</v>
      </c>
    </row>
    <row r="235" spans="1:39" ht="15.75" customHeight="1" x14ac:dyDescent="0.25">
      <c r="A235" s="59" t="s">
        <v>728</v>
      </c>
      <c r="B235" s="283"/>
      <c r="C235" s="7"/>
      <c r="D235" s="7"/>
      <c r="E235" s="7"/>
      <c r="F235" s="294"/>
      <c r="G235" s="286"/>
      <c r="H235" s="271"/>
      <c r="I235" s="271"/>
      <c r="J235" s="54">
        <v>0.38</v>
      </c>
      <c r="K235" s="271"/>
      <c r="L235" s="271"/>
      <c r="M235" s="271"/>
      <c r="N235" s="271"/>
      <c r="AA235" s="64"/>
      <c r="AC235" s="157"/>
      <c r="AE235" s="42"/>
      <c r="AG235" s="155"/>
      <c r="AJ235" s="123"/>
      <c r="AK235" s="157"/>
      <c r="AM235" s="40"/>
    </row>
    <row r="236" spans="1:39" ht="15.75" customHeight="1" x14ac:dyDescent="0.25">
      <c r="A236" s="59" t="s">
        <v>728</v>
      </c>
      <c r="B236" s="283"/>
      <c r="C236" s="7"/>
      <c r="D236" s="7"/>
      <c r="E236" s="7"/>
      <c r="F236" s="294"/>
      <c r="G236" s="286"/>
      <c r="H236" s="271"/>
      <c r="I236" s="271"/>
      <c r="J236" s="54">
        <v>3</v>
      </c>
      <c r="K236" s="271"/>
      <c r="L236" s="271"/>
      <c r="M236" s="271"/>
      <c r="N236" s="271"/>
      <c r="AA236" s="64"/>
      <c r="AC236" s="157"/>
      <c r="AE236" s="42"/>
      <c r="AG236" s="155"/>
      <c r="AJ236" s="123"/>
      <c r="AK236" s="157"/>
      <c r="AM236" s="40"/>
    </row>
    <row r="237" spans="1:39" ht="15.75" customHeight="1" x14ac:dyDescent="0.25">
      <c r="A237" s="59" t="s">
        <v>728</v>
      </c>
      <c r="B237" s="283"/>
      <c r="C237" s="7"/>
      <c r="D237" s="7"/>
      <c r="E237" s="7"/>
      <c r="F237" s="294"/>
      <c r="G237" s="26">
        <v>42</v>
      </c>
      <c r="H237" s="38">
        <v>44197</v>
      </c>
      <c r="I237" s="37">
        <v>10792854</v>
      </c>
      <c r="J237" s="54">
        <v>0.1</v>
      </c>
      <c r="K237" s="54">
        <v>500</v>
      </c>
      <c r="L237" s="38">
        <v>44435</v>
      </c>
      <c r="M237" s="37">
        <v>120</v>
      </c>
      <c r="N237" s="27">
        <f>L237+M237</f>
        <v>44555</v>
      </c>
      <c r="S237" s="58">
        <v>12991192</v>
      </c>
      <c r="T237" s="59">
        <v>44595</v>
      </c>
      <c r="U237" s="58">
        <v>12993443</v>
      </c>
      <c r="V237" s="59">
        <v>44595</v>
      </c>
      <c r="Z237" s="58">
        <v>196682</v>
      </c>
      <c r="AA237" s="64">
        <v>12546031</v>
      </c>
      <c r="AB237" s="38">
        <v>44533</v>
      </c>
      <c r="AC237" s="157">
        <v>500</v>
      </c>
      <c r="AE237" s="42"/>
      <c r="AG237" s="155"/>
      <c r="AH237" s="169" t="s">
        <v>292</v>
      </c>
      <c r="AI237" s="58">
        <v>14240113</v>
      </c>
      <c r="AJ237" s="59">
        <v>44602</v>
      </c>
      <c r="AK237" s="157">
        <v>500</v>
      </c>
      <c r="AM237" s="40"/>
    </row>
    <row r="238" spans="1:39" ht="15.75" customHeight="1" x14ac:dyDescent="0.25">
      <c r="A238" s="59" t="s">
        <v>728</v>
      </c>
      <c r="B238" s="283"/>
      <c r="C238" s="7"/>
      <c r="D238" s="7"/>
      <c r="E238" s="7"/>
      <c r="F238" s="294"/>
      <c r="G238" s="26">
        <v>43</v>
      </c>
      <c r="H238" s="38">
        <v>44197</v>
      </c>
      <c r="I238" s="37">
        <v>10793119</v>
      </c>
      <c r="J238" s="54">
        <v>0.2</v>
      </c>
      <c r="K238" s="54">
        <v>400</v>
      </c>
      <c r="L238" s="38">
        <v>44435</v>
      </c>
      <c r="M238" s="37">
        <v>120</v>
      </c>
      <c r="N238" s="27">
        <f>L238+M238</f>
        <v>44555</v>
      </c>
      <c r="S238" s="58">
        <v>12159045</v>
      </c>
      <c r="T238" s="59">
        <v>44525</v>
      </c>
      <c r="U238" s="58">
        <v>12159643</v>
      </c>
      <c r="V238" s="59">
        <v>44164</v>
      </c>
      <c r="Z238" s="58">
        <v>6562</v>
      </c>
      <c r="AA238" s="64">
        <v>12158850</v>
      </c>
      <c r="AB238" s="38">
        <v>44509</v>
      </c>
      <c r="AC238" s="157">
        <v>400</v>
      </c>
      <c r="AE238" s="42"/>
      <c r="AG238" s="155"/>
      <c r="AH238" s="169" t="s">
        <v>293</v>
      </c>
      <c r="AI238" s="58">
        <v>12287232</v>
      </c>
      <c r="AJ238" s="59">
        <v>44532</v>
      </c>
      <c r="AK238" s="157">
        <v>400</v>
      </c>
      <c r="AM238" s="40" t="s">
        <v>59</v>
      </c>
    </row>
    <row r="239" spans="1:39" ht="15.75" customHeight="1" x14ac:dyDescent="0.25">
      <c r="A239" s="59" t="s">
        <v>728</v>
      </c>
      <c r="B239" s="283"/>
      <c r="C239" s="7"/>
      <c r="D239" s="7"/>
      <c r="E239" s="7"/>
      <c r="F239" s="294"/>
      <c r="G239" s="26">
        <v>44</v>
      </c>
      <c r="H239" s="38">
        <v>44197</v>
      </c>
      <c r="I239" s="37">
        <v>10793317</v>
      </c>
      <c r="J239" s="54">
        <v>0.7</v>
      </c>
      <c r="K239" s="54">
        <v>14000</v>
      </c>
      <c r="L239" s="38">
        <v>44441</v>
      </c>
      <c r="M239" s="37">
        <v>120</v>
      </c>
      <c r="N239" s="27">
        <f>L239+M239</f>
        <v>44561</v>
      </c>
      <c r="S239" s="58">
        <v>11550074</v>
      </c>
      <c r="T239" s="59">
        <v>44482</v>
      </c>
      <c r="U239" s="58">
        <v>11550231</v>
      </c>
      <c r="V239" s="59">
        <v>44484</v>
      </c>
      <c r="Z239" s="58">
        <v>319</v>
      </c>
      <c r="AA239" s="64">
        <v>11549963</v>
      </c>
      <c r="AB239" s="38">
        <v>44466</v>
      </c>
      <c r="AC239" s="157">
        <v>7000</v>
      </c>
      <c r="AE239" s="42"/>
      <c r="AG239" s="155"/>
      <c r="AH239" s="169" t="s">
        <v>294</v>
      </c>
      <c r="AI239" s="58">
        <v>12007614</v>
      </c>
      <c r="AJ239" s="59">
        <v>44498</v>
      </c>
      <c r="AK239" s="157">
        <v>7000</v>
      </c>
      <c r="AM239" s="40" t="s">
        <v>59</v>
      </c>
    </row>
    <row r="240" spans="1:39" ht="15.75" customHeight="1" x14ac:dyDescent="0.25">
      <c r="A240" s="59" t="s">
        <v>728</v>
      </c>
      <c r="B240" s="284"/>
      <c r="C240" s="43"/>
      <c r="D240" s="43"/>
      <c r="E240" s="43"/>
      <c r="F240" s="291"/>
      <c r="G240" s="14"/>
      <c r="H240" s="75"/>
      <c r="I240" s="44"/>
      <c r="J240" s="45"/>
      <c r="K240" s="45"/>
      <c r="L240" s="44"/>
      <c r="M240" s="44"/>
      <c r="N240" s="88"/>
      <c r="O240" s="44"/>
      <c r="P240" s="44"/>
      <c r="Q240" s="44"/>
      <c r="R240" s="44"/>
      <c r="S240" s="44">
        <v>13565617</v>
      </c>
      <c r="T240" s="75">
        <v>44637</v>
      </c>
      <c r="U240" s="44">
        <v>13565989</v>
      </c>
      <c r="V240" s="75">
        <v>44645</v>
      </c>
      <c r="W240" s="44"/>
      <c r="X240" s="44"/>
      <c r="Y240" s="44"/>
      <c r="Z240" s="44"/>
      <c r="AA240" s="121"/>
      <c r="AB240" s="47"/>
      <c r="AC240" s="158"/>
      <c r="AD240" s="44"/>
      <c r="AE240" s="46"/>
      <c r="AF240" s="44"/>
      <c r="AG240" s="153"/>
      <c r="AH240" s="55" t="s">
        <v>295</v>
      </c>
      <c r="AI240" s="44">
        <v>13072015</v>
      </c>
      <c r="AJ240" s="75">
        <v>44594</v>
      </c>
      <c r="AK240" s="158">
        <v>7000</v>
      </c>
      <c r="AL240" s="44"/>
      <c r="AM240" s="48" t="s">
        <v>59</v>
      </c>
    </row>
    <row r="241" spans="1:39" ht="15.75" customHeight="1" x14ac:dyDescent="0.25">
      <c r="A241" s="59" t="s">
        <v>728</v>
      </c>
      <c r="B241" s="282" t="s">
        <v>296</v>
      </c>
      <c r="C241" s="33"/>
      <c r="D241" s="33"/>
      <c r="E241" s="33"/>
      <c r="F241" s="33"/>
      <c r="G241" s="11">
        <v>7</v>
      </c>
      <c r="H241" s="50">
        <v>44927</v>
      </c>
      <c r="I241" s="35">
        <v>18737041</v>
      </c>
      <c r="J241" s="53">
        <v>0.11</v>
      </c>
      <c r="K241" s="53">
        <v>2587.5</v>
      </c>
      <c r="L241" s="57">
        <v>45166</v>
      </c>
      <c r="M241" s="35">
        <v>30</v>
      </c>
      <c r="N241" s="57">
        <f t="shared" ref="N241:N248" si="0">L241+M241</f>
        <v>45196</v>
      </c>
      <c r="O241" s="278" t="s">
        <v>297</v>
      </c>
      <c r="P241" s="278">
        <v>20007614</v>
      </c>
      <c r="Q241" s="278" t="s">
        <v>297</v>
      </c>
      <c r="R241" s="278">
        <v>20007614</v>
      </c>
      <c r="S241" s="49"/>
      <c r="T241" s="49"/>
      <c r="U241" s="49"/>
      <c r="V241" s="49"/>
      <c r="W241" s="49"/>
      <c r="X241" s="49"/>
      <c r="Y241" s="49"/>
      <c r="Z241" s="49">
        <v>41201</v>
      </c>
      <c r="AA241" s="122">
        <v>24302403</v>
      </c>
      <c r="AB241" s="50">
        <v>45246</v>
      </c>
      <c r="AC241" s="156">
        <v>2990</v>
      </c>
      <c r="AD241" s="49" t="s">
        <v>298</v>
      </c>
      <c r="AE241" s="56">
        <v>19666793</v>
      </c>
      <c r="AF241" s="57">
        <v>45030</v>
      </c>
      <c r="AG241" s="152">
        <v>2587.5</v>
      </c>
      <c r="AH241" s="35" t="s">
        <v>299</v>
      </c>
      <c r="AI241" s="49">
        <v>25054471</v>
      </c>
      <c r="AJ241" s="57">
        <v>45345</v>
      </c>
      <c r="AK241" s="156">
        <v>2954.12</v>
      </c>
      <c r="AL241" s="49"/>
      <c r="AM241" s="36" t="s">
        <v>59</v>
      </c>
    </row>
    <row r="242" spans="1:39" ht="15.75" customHeight="1" x14ac:dyDescent="0.25">
      <c r="A242" s="59" t="s">
        <v>728</v>
      </c>
      <c r="B242" s="283"/>
      <c r="C242" s="7"/>
      <c r="D242" s="7"/>
      <c r="E242" s="7"/>
      <c r="F242" s="7"/>
      <c r="G242" s="26">
        <v>8</v>
      </c>
      <c r="H242" s="38">
        <v>44927</v>
      </c>
      <c r="I242" s="37">
        <v>18737224</v>
      </c>
      <c r="J242" s="39">
        <v>2.4500000000000002</v>
      </c>
      <c r="K242" s="39">
        <v>36750</v>
      </c>
      <c r="L242" s="59">
        <v>45166</v>
      </c>
      <c r="M242" s="37">
        <v>30</v>
      </c>
      <c r="N242" s="59">
        <f t="shared" si="0"/>
        <v>45196</v>
      </c>
      <c r="O242" s="271"/>
      <c r="P242" s="271"/>
      <c r="Q242" s="271"/>
      <c r="R242" s="271"/>
      <c r="S242" s="58">
        <v>24466952</v>
      </c>
      <c r="T242" s="59">
        <v>45314</v>
      </c>
      <c r="U242" s="89">
        <v>24467037</v>
      </c>
      <c r="V242" s="59">
        <v>45315</v>
      </c>
      <c r="Z242" s="58">
        <v>179060</v>
      </c>
      <c r="AA242" s="64">
        <v>24305585</v>
      </c>
      <c r="AB242" s="38">
        <v>45243</v>
      </c>
      <c r="AC242" s="157">
        <v>12202.83</v>
      </c>
      <c r="AD242" s="58" t="s">
        <v>300</v>
      </c>
      <c r="AE242" s="42">
        <v>19666845</v>
      </c>
      <c r="AF242" s="59">
        <v>45030</v>
      </c>
      <c r="AG242" s="155">
        <v>36750</v>
      </c>
      <c r="AH242" s="169" t="s">
        <v>301</v>
      </c>
      <c r="AI242" s="58">
        <v>25054524</v>
      </c>
      <c r="AJ242" s="59">
        <v>45345</v>
      </c>
      <c r="AK242" s="157">
        <v>12056.4</v>
      </c>
      <c r="AM242" s="40" t="s">
        <v>59</v>
      </c>
    </row>
    <row r="243" spans="1:39" ht="15.75" customHeight="1" x14ac:dyDescent="0.25">
      <c r="A243" s="59" t="s">
        <v>728</v>
      </c>
      <c r="B243" s="283"/>
      <c r="C243" s="7"/>
      <c r="D243" s="7"/>
      <c r="E243" s="7"/>
      <c r="F243" s="7"/>
      <c r="G243" s="292">
        <v>9</v>
      </c>
      <c r="H243" s="306">
        <v>44927</v>
      </c>
      <c r="I243" s="310">
        <v>18737295</v>
      </c>
      <c r="J243" s="39">
        <v>0.2</v>
      </c>
      <c r="K243" s="311">
        <v>3000</v>
      </c>
      <c r="L243" s="59">
        <v>45166</v>
      </c>
      <c r="M243" s="37">
        <v>30</v>
      </c>
      <c r="N243" s="59">
        <f t="shared" si="0"/>
        <v>45196</v>
      </c>
      <c r="O243" s="271"/>
      <c r="P243" s="271"/>
      <c r="Q243" s="271"/>
      <c r="R243" s="271"/>
      <c r="S243" s="58">
        <v>24302631</v>
      </c>
      <c r="T243" s="59">
        <v>45303</v>
      </c>
      <c r="U243" s="58">
        <v>24302758</v>
      </c>
      <c r="V243" s="59">
        <v>45303</v>
      </c>
      <c r="Z243" s="58">
        <v>180929</v>
      </c>
      <c r="AA243" s="64">
        <v>24305585</v>
      </c>
      <c r="AB243" s="38">
        <v>45261</v>
      </c>
      <c r="AC243" s="157">
        <v>97.87</v>
      </c>
      <c r="AD243" s="58" t="s">
        <v>302</v>
      </c>
      <c r="AE243" s="42">
        <v>19666906</v>
      </c>
      <c r="AF243" s="59">
        <v>45030</v>
      </c>
      <c r="AG243" s="155">
        <v>3000</v>
      </c>
      <c r="AH243" s="169" t="s">
        <v>303</v>
      </c>
      <c r="AI243" s="58">
        <v>25054575</v>
      </c>
      <c r="AJ243" s="59">
        <v>45345</v>
      </c>
      <c r="AK243" s="157">
        <v>96</v>
      </c>
      <c r="AM243" s="40" t="s">
        <v>59</v>
      </c>
    </row>
    <row r="244" spans="1:39" ht="15.75" customHeight="1" x14ac:dyDescent="0.25">
      <c r="A244" s="59" t="s">
        <v>728</v>
      </c>
      <c r="B244" s="283"/>
      <c r="C244" s="7"/>
      <c r="D244" s="7"/>
      <c r="E244" s="7"/>
      <c r="F244" s="7"/>
      <c r="G244" s="286"/>
      <c r="H244" s="271"/>
      <c r="I244" s="271"/>
      <c r="J244" s="39">
        <v>0.04</v>
      </c>
      <c r="K244" s="271"/>
      <c r="L244" s="59">
        <v>45166</v>
      </c>
      <c r="M244" s="37">
        <v>30</v>
      </c>
      <c r="N244" s="59">
        <f t="shared" si="0"/>
        <v>45196</v>
      </c>
      <c r="O244" s="271"/>
      <c r="P244" s="271"/>
      <c r="Q244" s="271"/>
      <c r="R244" s="271"/>
      <c r="Z244" s="58">
        <v>227425</v>
      </c>
      <c r="AA244" s="64">
        <v>24466519</v>
      </c>
      <c r="AB244" s="38">
        <v>45302</v>
      </c>
      <c r="AC244" s="157">
        <v>36750</v>
      </c>
      <c r="AD244" s="58" t="s">
        <v>304</v>
      </c>
      <c r="AE244" s="42">
        <v>19666941</v>
      </c>
      <c r="AF244" s="59">
        <v>45030</v>
      </c>
      <c r="AG244" s="155">
        <v>12300</v>
      </c>
      <c r="AH244" s="169" t="s">
        <v>305</v>
      </c>
      <c r="AI244" s="58">
        <v>25054628</v>
      </c>
      <c r="AJ244" s="59">
        <v>45345</v>
      </c>
      <c r="AK244" s="157">
        <v>36309</v>
      </c>
      <c r="AM244" s="40" t="s">
        <v>59</v>
      </c>
    </row>
    <row r="245" spans="1:39" ht="15.75" customHeight="1" x14ac:dyDescent="0.25">
      <c r="A245" s="59" t="s">
        <v>728</v>
      </c>
      <c r="B245" s="283"/>
      <c r="C245" s="7"/>
      <c r="D245" s="7"/>
      <c r="E245" s="7"/>
      <c r="F245" s="7"/>
      <c r="G245" s="26">
        <v>10</v>
      </c>
      <c r="H245" s="38">
        <v>44927</v>
      </c>
      <c r="I245" s="37">
        <v>18737677</v>
      </c>
      <c r="J245" s="39">
        <v>1.23</v>
      </c>
      <c r="K245" s="39">
        <v>12300</v>
      </c>
      <c r="L245" s="59">
        <v>45166</v>
      </c>
      <c r="M245" s="37">
        <v>30</v>
      </c>
      <c r="N245" s="59">
        <f t="shared" si="0"/>
        <v>45196</v>
      </c>
      <c r="O245" s="271"/>
      <c r="P245" s="271"/>
      <c r="Q245" s="271"/>
      <c r="R245" s="271"/>
      <c r="S245" s="58">
        <v>24306212</v>
      </c>
      <c r="T245" s="59">
        <v>45303</v>
      </c>
      <c r="U245" s="58">
        <v>24306342</v>
      </c>
      <c r="V245" s="59">
        <v>45303</v>
      </c>
      <c r="Z245" s="58">
        <v>428615</v>
      </c>
      <c r="AA245" s="64">
        <v>24488431</v>
      </c>
      <c r="AB245" s="38">
        <v>45230</v>
      </c>
      <c r="AC245" s="157">
        <v>2000</v>
      </c>
      <c r="AD245" s="58" t="s">
        <v>306</v>
      </c>
      <c r="AE245" s="42">
        <v>19666971</v>
      </c>
      <c r="AF245" s="59">
        <v>45030</v>
      </c>
      <c r="AG245" s="155">
        <v>2000</v>
      </c>
      <c r="AH245" s="169" t="s">
        <v>307</v>
      </c>
      <c r="AI245" s="58">
        <v>25054665</v>
      </c>
      <c r="AJ245" s="59">
        <v>45341</v>
      </c>
      <c r="AK245" s="157">
        <v>1976</v>
      </c>
      <c r="AM245" s="40" t="s">
        <v>59</v>
      </c>
    </row>
    <row r="246" spans="1:39" ht="15.75" customHeight="1" x14ac:dyDescent="0.25">
      <c r="A246" s="59" t="s">
        <v>728</v>
      </c>
      <c r="B246" s="283"/>
      <c r="C246" s="7"/>
      <c r="D246" s="7"/>
      <c r="E246" s="7"/>
      <c r="F246" s="7"/>
      <c r="G246" s="26">
        <v>11</v>
      </c>
      <c r="H246" s="38">
        <v>44927</v>
      </c>
      <c r="I246" s="37">
        <v>18737752</v>
      </c>
      <c r="J246" s="39">
        <v>0.1</v>
      </c>
      <c r="K246" s="39">
        <v>2000</v>
      </c>
      <c r="L246" s="59">
        <v>45166</v>
      </c>
      <c r="M246" s="37">
        <v>30</v>
      </c>
      <c r="N246" s="59">
        <f t="shared" si="0"/>
        <v>45196</v>
      </c>
      <c r="O246" s="271"/>
      <c r="P246" s="271"/>
      <c r="Q246" s="271"/>
      <c r="R246" s="271"/>
      <c r="S246" s="58">
        <v>24491218</v>
      </c>
      <c r="T246" s="59">
        <v>45315</v>
      </c>
      <c r="U246" s="58">
        <v>24492029</v>
      </c>
      <c r="V246" s="59">
        <v>45316</v>
      </c>
      <c r="AA246" s="64"/>
      <c r="AC246" s="157"/>
      <c r="AD246" s="58" t="s">
        <v>308</v>
      </c>
      <c r="AE246" s="42">
        <v>19692896</v>
      </c>
      <c r="AF246" s="59">
        <v>45030</v>
      </c>
      <c r="AG246" s="155">
        <v>2000</v>
      </c>
      <c r="AJ246" s="123"/>
      <c r="AK246" s="157"/>
      <c r="AM246" s="40"/>
    </row>
    <row r="247" spans="1:39" ht="15.75" customHeight="1" x14ac:dyDescent="0.25">
      <c r="A247" s="59" t="s">
        <v>728</v>
      </c>
      <c r="B247" s="284"/>
      <c r="C247" s="43"/>
      <c r="D247" s="43"/>
      <c r="E247" s="43"/>
      <c r="F247" s="43"/>
      <c r="G247" s="14">
        <v>12</v>
      </c>
      <c r="H247" s="47">
        <v>44927</v>
      </c>
      <c r="I247" s="55">
        <v>18737836</v>
      </c>
      <c r="J247" s="45">
        <v>0.2</v>
      </c>
      <c r="K247" s="45">
        <v>2000</v>
      </c>
      <c r="L247" s="75">
        <v>45166</v>
      </c>
      <c r="M247" s="55">
        <v>30</v>
      </c>
      <c r="N247" s="75">
        <f t="shared" si="0"/>
        <v>45196</v>
      </c>
      <c r="O247" s="279"/>
      <c r="P247" s="279"/>
      <c r="Q247" s="279"/>
      <c r="R247" s="279"/>
      <c r="S247" s="44"/>
      <c r="T247" s="44"/>
      <c r="U247" s="44"/>
      <c r="V247" s="44"/>
      <c r="W247" s="44"/>
      <c r="X247" s="44"/>
      <c r="Y247" s="44"/>
      <c r="Z247" s="44"/>
      <c r="AA247" s="121"/>
      <c r="AB247" s="47"/>
      <c r="AC247" s="158"/>
      <c r="AD247" s="44"/>
      <c r="AE247" s="46"/>
      <c r="AF247" s="44"/>
      <c r="AG247" s="153"/>
      <c r="AH247" s="55"/>
      <c r="AI247" s="44"/>
      <c r="AJ247" s="75"/>
      <c r="AK247" s="158"/>
      <c r="AL247" s="44"/>
      <c r="AM247" s="48"/>
    </row>
    <row r="248" spans="1:39" ht="15.75" customHeight="1" x14ac:dyDescent="0.25">
      <c r="A248" s="59" t="s">
        <v>728</v>
      </c>
      <c r="B248" s="282" t="s">
        <v>309</v>
      </c>
      <c r="C248" s="33"/>
      <c r="D248" s="33"/>
      <c r="E248" s="33"/>
      <c r="F248" s="33"/>
      <c r="G248" s="285">
        <v>16</v>
      </c>
      <c r="H248" s="280">
        <v>43831</v>
      </c>
      <c r="I248" s="278">
        <v>5335401</v>
      </c>
      <c r="J248" s="53">
        <v>23140</v>
      </c>
      <c r="K248" s="272">
        <v>42030.5</v>
      </c>
      <c r="L248" s="312">
        <v>43937</v>
      </c>
      <c r="M248" s="278">
        <v>30</v>
      </c>
      <c r="N248" s="280">
        <f t="shared" si="0"/>
        <v>43967</v>
      </c>
      <c r="O248" s="278" t="s">
        <v>242</v>
      </c>
      <c r="P248" s="278">
        <v>5377920</v>
      </c>
      <c r="Q248" s="278" t="s">
        <v>242</v>
      </c>
      <c r="R248" s="278">
        <v>5377920</v>
      </c>
      <c r="S248" s="49">
        <v>5745337</v>
      </c>
      <c r="T248" s="57">
        <v>43981</v>
      </c>
      <c r="U248" s="49">
        <v>5750744</v>
      </c>
      <c r="V248" s="57">
        <v>43983</v>
      </c>
      <c r="W248" s="49"/>
      <c r="X248" s="49"/>
      <c r="Y248" s="49"/>
      <c r="Z248" s="49">
        <v>1732</v>
      </c>
      <c r="AA248" s="122">
        <v>5391413</v>
      </c>
      <c r="AB248" s="50">
        <v>43945</v>
      </c>
      <c r="AC248" s="156">
        <v>23140</v>
      </c>
      <c r="AD248" s="49" t="s">
        <v>310</v>
      </c>
      <c r="AE248" s="56">
        <v>5334840</v>
      </c>
      <c r="AF248" s="57">
        <v>43938</v>
      </c>
      <c r="AG248" s="152">
        <v>23140</v>
      </c>
      <c r="AH248" s="35" t="s">
        <v>311</v>
      </c>
      <c r="AI248" s="49">
        <v>5451298</v>
      </c>
      <c r="AJ248" s="57">
        <v>43950</v>
      </c>
      <c r="AK248" s="156">
        <v>23140</v>
      </c>
      <c r="AL248" s="49"/>
      <c r="AM248" s="36" t="s">
        <v>59</v>
      </c>
    </row>
    <row r="249" spans="1:39" ht="15.75" customHeight="1" x14ac:dyDescent="0.25">
      <c r="A249" s="59" t="s">
        <v>728</v>
      </c>
      <c r="B249" s="283"/>
      <c r="C249" s="7"/>
      <c r="D249" s="7"/>
      <c r="E249" s="7"/>
      <c r="F249" s="7"/>
      <c r="G249" s="286"/>
      <c r="H249" s="271"/>
      <c r="I249" s="271"/>
      <c r="J249" s="39">
        <v>18890.5</v>
      </c>
      <c r="K249" s="271"/>
      <c r="L249" s="271"/>
      <c r="M249" s="271"/>
      <c r="N249" s="271"/>
      <c r="O249" s="271"/>
      <c r="P249" s="271"/>
      <c r="Q249" s="271"/>
      <c r="R249" s="271"/>
      <c r="S249" s="58">
        <v>5941651</v>
      </c>
      <c r="T249" s="59">
        <v>44001</v>
      </c>
      <c r="U249" s="58">
        <v>5941676</v>
      </c>
      <c r="V249" s="59">
        <v>44004</v>
      </c>
      <c r="Z249" s="58">
        <v>1808</v>
      </c>
      <c r="AA249" s="64">
        <v>5745301</v>
      </c>
      <c r="AB249" s="38">
        <v>43965</v>
      </c>
      <c r="AC249" s="157">
        <v>9559.9</v>
      </c>
      <c r="AD249" s="58" t="s">
        <v>312</v>
      </c>
      <c r="AE249" s="42">
        <v>5334868</v>
      </c>
      <c r="AF249" s="59">
        <v>43938</v>
      </c>
      <c r="AG249" s="155">
        <v>18890.5</v>
      </c>
      <c r="AH249" s="169" t="s">
        <v>313</v>
      </c>
      <c r="AI249" s="58">
        <v>5788800</v>
      </c>
      <c r="AJ249" s="59">
        <v>43986</v>
      </c>
      <c r="AK249" s="157">
        <v>9559.9</v>
      </c>
      <c r="AM249" s="40" t="s">
        <v>59</v>
      </c>
    </row>
    <row r="250" spans="1:39" ht="15.75" customHeight="1" x14ac:dyDescent="0.25">
      <c r="A250" s="59" t="s">
        <v>728</v>
      </c>
      <c r="B250" s="284"/>
      <c r="C250" s="43"/>
      <c r="D250" s="43"/>
      <c r="E250" s="43"/>
      <c r="F250" s="43"/>
      <c r="G250" s="14"/>
      <c r="H250" s="75"/>
      <c r="I250" s="44"/>
      <c r="J250" s="45"/>
      <c r="K250" s="45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>
        <v>1903</v>
      </c>
      <c r="AA250" s="121">
        <v>5941635</v>
      </c>
      <c r="AB250" s="47">
        <v>43997</v>
      </c>
      <c r="AC250" s="158">
        <v>9320.7999999999993</v>
      </c>
      <c r="AD250" s="44"/>
      <c r="AE250" s="46"/>
      <c r="AF250" s="44"/>
      <c r="AG250" s="153"/>
      <c r="AH250" s="55" t="s">
        <v>314</v>
      </c>
      <c r="AI250" s="44">
        <v>6070371</v>
      </c>
      <c r="AJ250" s="75">
        <v>44011</v>
      </c>
      <c r="AK250" s="158">
        <v>9320.7999999999993</v>
      </c>
      <c r="AL250" s="44"/>
      <c r="AM250" s="48" t="s">
        <v>59</v>
      </c>
    </row>
    <row r="251" spans="1:39" ht="15.75" customHeight="1" x14ac:dyDescent="0.25">
      <c r="A251" s="59" t="s">
        <v>728</v>
      </c>
      <c r="B251" s="282" t="s">
        <v>315</v>
      </c>
      <c r="C251" s="33"/>
      <c r="D251" s="33"/>
      <c r="E251" s="33"/>
      <c r="F251" s="33"/>
      <c r="G251" s="11">
        <v>31</v>
      </c>
      <c r="H251" s="57">
        <v>43831</v>
      </c>
      <c r="I251" s="35">
        <v>6441983</v>
      </c>
      <c r="J251" s="53">
        <v>58288.39</v>
      </c>
      <c r="K251" s="53">
        <v>58288.39</v>
      </c>
      <c r="L251" s="57">
        <v>44055</v>
      </c>
      <c r="M251" s="35">
        <v>60</v>
      </c>
      <c r="N251" s="57">
        <f t="shared" ref="N251:N263" si="1">L251+M251</f>
        <v>44115</v>
      </c>
      <c r="O251" s="278" t="s">
        <v>316</v>
      </c>
      <c r="P251" s="278">
        <v>7066137</v>
      </c>
      <c r="Q251" s="278" t="s">
        <v>316</v>
      </c>
      <c r="R251" s="278">
        <v>7066137</v>
      </c>
      <c r="S251" s="49">
        <v>6754944</v>
      </c>
      <c r="T251" s="57">
        <v>44068</v>
      </c>
      <c r="U251" s="49">
        <v>6754944</v>
      </c>
      <c r="V251" s="57">
        <v>44071</v>
      </c>
      <c r="W251" s="49"/>
      <c r="X251" s="49"/>
      <c r="Y251" s="49"/>
      <c r="Z251" s="49">
        <v>3316</v>
      </c>
      <c r="AA251" s="122">
        <v>6754896</v>
      </c>
      <c r="AB251" s="50">
        <v>44060</v>
      </c>
      <c r="AC251" s="156">
        <v>1700</v>
      </c>
      <c r="AD251" s="49" t="s">
        <v>317</v>
      </c>
      <c r="AE251" s="56">
        <v>5823045</v>
      </c>
      <c r="AF251" s="57">
        <v>43990</v>
      </c>
      <c r="AG251" s="152">
        <v>58788.33</v>
      </c>
      <c r="AH251" s="35" t="s">
        <v>318</v>
      </c>
      <c r="AI251" s="49">
        <v>7325873</v>
      </c>
      <c r="AJ251" s="57">
        <v>44113</v>
      </c>
      <c r="AK251" s="156">
        <v>58288.39</v>
      </c>
      <c r="AL251" s="49"/>
      <c r="AM251" s="36" t="s">
        <v>319</v>
      </c>
    </row>
    <row r="252" spans="1:39" ht="15.75" customHeight="1" x14ac:dyDescent="0.25">
      <c r="A252" s="59" t="s">
        <v>728</v>
      </c>
      <c r="B252" s="283"/>
      <c r="C252" s="7"/>
      <c r="D252" s="7"/>
      <c r="E252" s="7"/>
      <c r="F252" s="7"/>
      <c r="G252" s="26">
        <v>32</v>
      </c>
      <c r="H252" s="59">
        <v>43831</v>
      </c>
      <c r="I252" s="37">
        <v>6442166</v>
      </c>
      <c r="J252" s="39">
        <v>14326</v>
      </c>
      <c r="K252" s="39">
        <v>14326</v>
      </c>
      <c r="L252" s="59">
        <v>44055</v>
      </c>
      <c r="M252" s="37">
        <v>60</v>
      </c>
      <c r="N252" s="59">
        <f t="shared" si="1"/>
        <v>44115</v>
      </c>
      <c r="O252" s="271"/>
      <c r="P252" s="271"/>
      <c r="Q252" s="271"/>
      <c r="R252" s="271"/>
      <c r="S252" s="58">
        <v>6944550</v>
      </c>
      <c r="T252" s="59">
        <v>44084</v>
      </c>
      <c r="U252" s="58">
        <v>6944778</v>
      </c>
      <c r="V252" s="59">
        <v>44097</v>
      </c>
      <c r="Z252" s="58">
        <v>3965</v>
      </c>
      <c r="AA252" s="64">
        <v>6944661</v>
      </c>
      <c r="AB252" s="38">
        <v>44049</v>
      </c>
      <c r="AC252" s="157">
        <v>58288.39</v>
      </c>
      <c r="AD252" s="58" t="s">
        <v>320</v>
      </c>
      <c r="AE252" s="42">
        <v>5823100</v>
      </c>
      <c r="AF252" s="59">
        <v>43990</v>
      </c>
      <c r="AG252" s="155">
        <v>14326</v>
      </c>
      <c r="AH252" s="169" t="s">
        <v>321</v>
      </c>
      <c r="AI252" s="58">
        <v>7325896</v>
      </c>
      <c r="AJ252" s="59">
        <v>44113</v>
      </c>
      <c r="AK252" s="157">
        <v>88432</v>
      </c>
      <c r="AM252" s="40" t="s">
        <v>319</v>
      </c>
    </row>
    <row r="253" spans="1:39" ht="15.75" customHeight="1" x14ac:dyDescent="0.25">
      <c r="A253" s="59" t="s">
        <v>728</v>
      </c>
      <c r="B253" s="283"/>
      <c r="C253" s="7"/>
      <c r="D253" s="7"/>
      <c r="E253" s="7"/>
      <c r="F253" s="7"/>
      <c r="G253" s="26">
        <v>33</v>
      </c>
      <c r="H253" s="59">
        <v>43831</v>
      </c>
      <c r="I253" s="37">
        <v>6442260</v>
      </c>
      <c r="J253" s="39">
        <v>37039.31</v>
      </c>
      <c r="K253" s="39">
        <v>37039.31</v>
      </c>
      <c r="L253" s="59">
        <v>44055</v>
      </c>
      <c r="M253" s="37">
        <v>60</v>
      </c>
      <c r="N253" s="59">
        <f t="shared" si="1"/>
        <v>44115</v>
      </c>
      <c r="O253" s="271"/>
      <c r="P253" s="271"/>
      <c r="Q253" s="271"/>
      <c r="R253" s="271"/>
      <c r="S253" s="58">
        <v>6980573</v>
      </c>
      <c r="T253" s="59">
        <v>44084</v>
      </c>
      <c r="U253" s="58">
        <v>6980711</v>
      </c>
      <c r="V253" s="59">
        <v>44097</v>
      </c>
      <c r="Z253" s="58">
        <v>39617</v>
      </c>
      <c r="AA253" s="64">
        <v>6980428</v>
      </c>
      <c r="AB253" s="38">
        <v>44063</v>
      </c>
      <c r="AC253" s="157">
        <v>88432</v>
      </c>
      <c r="AD253" s="58" t="s">
        <v>322</v>
      </c>
      <c r="AE253" s="42">
        <v>5823162</v>
      </c>
      <c r="AF253" s="59">
        <v>43990</v>
      </c>
      <c r="AG253" s="155">
        <v>37039.31</v>
      </c>
      <c r="AH253" s="169" t="s">
        <v>323</v>
      </c>
      <c r="AI253" s="58">
        <v>7325919</v>
      </c>
      <c r="AJ253" s="59">
        <v>44113</v>
      </c>
      <c r="AK253" s="157">
        <v>1700</v>
      </c>
      <c r="AM253" s="40" t="s">
        <v>319</v>
      </c>
    </row>
    <row r="254" spans="1:39" ht="15.75" customHeight="1" x14ac:dyDescent="0.25">
      <c r="A254" s="59" t="s">
        <v>728</v>
      </c>
      <c r="B254" s="283"/>
      <c r="C254" s="7"/>
      <c r="D254" s="7"/>
      <c r="E254" s="7"/>
      <c r="F254" s="7"/>
      <c r="G254" s="26">
        <v>34</v>
      </c>
      <c r="H254" s="59">
        <v>43831</v>
      </c>
      <c r="I254" s="37">
        <v>6443050</v>
      </c>
      <c r="J254" s="39">
        <v>1289.4000000000001</v>
      </c>
      <c r="K254" s="39">
        <v>1289.4000000000001</v>
      </c>
      <c r="L254" s="59">
        <v>44055</v>
      </c>
      <c r="M254" s="37">
        <v>60</v>
      </c>
      <c r="N254" s="59">
        <f t="shared" si="1"/>
        <v>44115</v>
      </c>
      <c r="O254" s="271"/>
      <c r="P254" s="271"/>
      <c r="Q254" s="271"/>
      <c r="R254" s="271"/>
      <c r="S254" s="58">
        <v>7075356</v>
      </c>
      <c r="T254" s="59">
        <v>44102</v>
      </c>
      <c r="U254" s="58">
        <v>7075566</v>
      </c>
      <c r="V254" s="59">
        <v>44109</v>
      </c>
      <c r="Z254" s="58">
        <v>835</v>
      </c>
      <c r="AA254" s="64">
        <v>7075146</v>
      </c>
      <c r="AB254" s="38">
        <v>44070</v>
      </c>
      <c r="AC254" s="157">
        <v>1289.4000000000001</v>
      </c>
      <c r="AD254" s="58" t="s">
        <v>324</v>
      </c>
      <c r="AE254" s="42">
        <v>5823262</v>
      </c>
      <c r="AF254" s="59">
        <v>43990</v>
      </c>
      <c r="AG254" s="155">
        <v>1289.4000000000001</v>
      </c>
      <c r="AH254" s="169" t="s">
        <v>325</v>
      </c>
      <c r="AI254" s="58">
        <v>7845564</v>
      </c>
      <c r="AJ254" s="59">
        <v>44140</v>
      </c>
      <c r="AK254" s="157">
        <v>37039.31</v>
      </c>
      <c r="AM254" s="40" t="s">
        <v>319</v>
      </c>
    </row>
    <row r="255" spans="1:39" ht="15.75" customHeight="1" x14ac:dyDescent="0.25">
      <c r="A255" s="59" t="s">
        <v>728</v>
      </c>
      <c r="B255" s="283"/>
      <c r="C255" s="7"/>
      <c r="D255" s="7"/>
      <c r="E255" s="7"/>
      <c r="F255" s="7"/>
      <c r="G255" s="26">
        <v>35</v>
      </c>
      <c r="H255" s="59">
        <v>43831</v>
      </c>
      <c r="I255" s="37">
        <v>6444682</v>
      </c>
      <c r="J255" s="39">
        <v>9160</v>
      </c>
      <c r="K255" s="39">
        <v>9160</v>
      </c>
      <c r="L255" s="59">
        <v>44055</v>
      </c>
      <c r="M255" s="37">
        <v>60</v>
      </c>
      <c r="N255" s="59">
        <f t="shared" si="1"/>
        <v>44115</v>
      </c>
      <c r="O255" s="271"/>
      <c r="P255" s="271"/>
      <c r="Q255" s="271"/>
      <c r="R255" s="271"/>
      <c r="S255" s="58">
        <v>7076149</v>
      </c>
      <c r="T255" s="59">
        <v>44102</v>
      </c>
      <c r="U255" s="58">
        <v>7076443</v>
      </c>
      <c r="V255" s="59">
        <v>44109</v>
      </c>
      <c r="Z255" s="58">
        <v>187</v>
      </c>
      <c r="AA255" s="64">
        <v>7075800</v>
      </c>
      <c r="AB255" s="38">
        <v>44076</v>
      </c>
      <c r="AC255" s="157">
        <v>26647.5</v>
      </c>
      <c r="AD255" s="58" t="s">
        <v>326</v>
      </c>
      <c r="AE255" s="42">
        <v>5823324</v>
      </c>
      <c r="AF255" s="59">
        <v>43990</v>
      </c>
      <c r="AG255" s="155">
        <v>9160</v>
      </c>
      <c r="AH255" s="169" t="s">
        <v>327</v>
      </c>
      <c r="AI255" s="58">
        <v>7845651</v>
      </c>
      <c r="AJ255" s="59">
        <v>44148</v>
      </c>
      <c r="AK255" s="157">
        <v>1289.4000000000001</v>
      </c>
      <c r="AM255" s="40" t="s">
        <v>319</v>
      </c>
    </row>
    <row r="256" spans="1:39" ht="15.75" customHeight="1" x14ac:dyDescent="0.25">
      <c r="A256" s="59" t="s">
        <v>728</v>
      </c>
      <c r="B256" s="283"/>
      <c r="C256" s="7"/>
      <c r="D256" s="7"/>
      <c r="E256" s="7"/>
      <c r="F256" s="7"/>
      <c r="G256" s="26">
        <v>36</v>
      </c>
      <c r="H256" s="59">
        <v>43831</v>
      </c>
      <c r="I256" s="37">
        <v>6445067</v>
      </c>
      <c r="J256" s="39">
        <v>44880</v>
      </c>
      <c r="K256" s="39">
        <v>44880</v>
      </c>
      <c r="L256" s="59">
        <v>44055</v>
      </c>
      <c r="M256" s="37">
        <v>60</v>
      </c>
      <c r="N256" s="59">
        <f t="shared" si="1"/>
        <v>44115</v>
      </c>
      <c r="O256" s="271"/>
      <c r="P256" s="271"/>
      <c r="Q256" s="271"/>
      <c r="R256" s="271"/>
      <c r="S256" s="58">
        <v>7305541</v>
      </c>
      <c r="T256" s="59">
        <v>44117</v>
      </c>
      <c r="U256" s="58">
        <v>7387682</v>
      </c>
      <c r="V256" s="59">
        <v>44130</v>
      </c>
      <c r="Z256" s="58">
        <v>187</v>
      </c>
      <c r="AA256" s="64">
        <v>7305486</v>
      </c>
      <c r="AB256" s="38">
        <v>44105</v>
      </c>
      <c r="AC256" s="157">
        <v>9160</v>
      </c>
      <c r="AD256" s="58" t="s">
        <v>328</v>
      </c>
      <c r="AE256" s="42">
        <v>5823385</v>
      </c>
      <c r="AF256" s="59">
        <v>43990</v>
      </c>
      <c r="AG256" s="155">
        <v>44880</v>
      </c>
      <c r="AH256" s="169" t="s">
        <v>329</v>
      </c>
      <c r="AI256" s="58">
        <v>7845813</v>
      </c>
      <c r="AJ256" s="59">
        <v>44140</v>
      </c>
      <c r="AK256" s="157">
        <v>9160</v>
      </c>
      <c r="AM256" s="40" t="s">
        <v>319</v>
      </c>
    </row>
    <row r="257" spans="1:39" ht="15.75" customHeight="1" x14ac:dyDescent="0.25">
      <c r="A257" s="59" t="s">
        <v>728</v>
      </c>
      <c r="B257" s="283"/>
      <c r="C257" s="7"/>
      <c r="D257" s="7"/>
      <c r="E257" s="7"/>
      <c r="F257" s="7"/>
      <c r="G257" s="26">
        <v>37</v>
      </c>
      <c r="H257" s="59">
        <v>43831</v>
      </c>
      <c r="I257" s="37">
        <v>6445143</v>
      </c>
      <c r="J257" s="39">
        <v>88432</v>
      </c>
      <c r="K257" s="39">
        <v>88432</v>
      </c>
      <c r="L257" s="59">
        <v>44055</v>
      </c>
      <c r="M257" s="37">
        <v>60</v>
      </c>
      <c r="N257" s="59">
        <f t="shared" si="1"/>
        <v>44115</v>
      </c>
      <c r="O257" s="271"/>
      <c r="P257" s="271"/>
      <c r="Q257" s="271"/>
      <c r="R257" s="271"/>
      <c r="S257" s="58">
        <v>7290579</v>
      </c>
      <c r="T257" s="59">
        <v>44113</v>
      </c>
      <c r="U257" s="58">
        <v>7290816</v>
      </c>
      <c r="V257" s="59">
        <v>44131</v>
      </c>
      <c r="Z257" s="58">
        <v>18055</v>
      </c>
      <c r="AA257" s="64">
        <v>7289460</v>
      </c>
      <c r="AB257" s="38">
        <v>44088</v>
      </c>
      <c r="AC257" s="157">
        <v>44880</v>
      </c>
      <c r="AD257" s="58" t="s">
        <v>330</v>
      </c>
      <c r="AE257" s="42">
        <v>5823889</v>
      </c>
      <c r="AF257" s="59">
        <v>43990</v>
      </c>
      <c r="AG257" s="155">
        <v>88432</v>
      </c>
      <c r="AH257" s="169" t="s">
        <v>331</v>
      </c>
      <c r="AI257" s="58">
        <v>7845757</v>
      </c>
      <c r="AJ257" s="59">
        <v>44141</v>
      </c>
      <c r="AK257" s="157">
        <v>44880</v>
      </c>
      <c r="AM257" s="40" t="s">
        <v>319</v>
      </c>
    </row>
    <row r="258" spans="1:39" ht="15.75" customHeight="1" x14ac:dyDescent="0.25">
      <c r="A258" s="59" t="s">
        <v>728</v>
      </c>
      <c r="B258" s="283"/>
      <c r="C258" s="7"/>
      <c r="D258" s="7"/>
      <c r="E258" s="7"/>
      <c r="F258" s="7"/>
      <c r="G258" s="26">
        <v>38</v>
      </c>
      <c r="H258" s="59">
        <v>43831</v>
      </c>
      <c r="I258" s="37">
        <v>6445306</v>
      </c>
      <c r="J258" s="39">
        <v>1700</v>
      </c>
      <c r="K258" s="39">
        <v>1700</v>
      </c>
      <c r="L258" s="59">
        <v>44055</v>
      </c>
      <c r="M258" s="37">
        <v>60</v>
      </c>
      <c r="N258" s="59">
        <f t="shared" si="1"/>
        <v>44115</v>
      </c>
      <c r="O258" s="271"/>
      <c r="P258" s="271"/>
      <c r="Q258" s="271"/>
      <c r="R258" s="271"/>
      <c r="S258" s="58">
        <v>7306613</v>
      </c>
      <c r="T258" s="59">
        <v>44119</v>
      </c>
      <c r="U258" s="58">
        <v>7307358</v>
      </c>
      <c r="V258" s="59">
        <v>44131</v>
      </c>
      <c r="Z258" s="58">
        <v>240</v>
      </c>
      <c r="AA258" s="64">
        <v>7294657</v>
      </c>
      <c r="AB258" s="38">
        <v>44060</v>
      </c>
      <c r="AC258" s="157">
        <v>37039.31</v>
      </c>
      <c r="AD258" s="58" t="s">
        <v>332</v>
      </c>
      <c r="AE258" s="42">
        <v>5823947</v>
      </c>
      <c r="AF258" s="59">
        <v>43990</v>
      </c>
      <c r="AG258" s="155">
        <v>1700</v>
      </c>
      <c r="AH258" s="169" t="s">
        <v>333</v>
      </c>
      <c r="AI258" s="58">
        <v>7845908</v>
      </c>
      <c r="AJ258" s="59">
        <v>44173</v>
      </c>
      <c r="AK258" s="157">
        <v>26647.5</v>
      </c>
      <c r="AM258" s="40" t="s">
        <v>319</v>
      </c>
    </row>
    <row r="259" spans="1:39" ht="15.75" customHeight="1" x14ac:dyDescent="0.25">
      <c r="A259" s="59" t="s">
        <v>728</v>
      </c>
      <c r="B259" s="283"/>
      <c r="C259" s="7"/>
      <c r="D259" s="7"/>
      <c r="E259" s="7"/>
      <c r="F259" s="7"/>
      <c r="G259" s="26">
        <v>39</v>
      </c>
      <c r="H259" s="59">
        <v>43831</v>
      </c>
      <c r="I259" s="37">
        <v>6496611</v>
      </c>
      <c r="J259" s="39">
        <v>6188.99</v>
      </c>
      <c r="K259" s="39">
        <v>6188.99</v>
      </c>
      <c r="L259" s="59">
        <v>44055</v>
      </c>
      <c r="M259" s="37">
        <v>60</v>
      </c>
      <c r="N259" s="59">
        <f t="shared" si="1"/>
        <v>44115</v>
      </c>
      <c r="O259" s="271"/>
      <c r="P259" s="271"/>
      <c r="Q259" s="271"/>
      <c r="R259" s="271"/>
      <c r="S259" s="58">
        <v>7370501</v>
      </c>
      <c r="T259" s="59">
        <v>44119</v>
      </c>
      <c r="U259" s="58">
        <v>7370501</v>
      </c>
      <c r="V259" s="59">
        <v>44127</v>
      </c>
      <c r="Z259" s="58">
        <v>5537</v>
      </c>
      <c r="AA259" s="64">
        <v>7370328</v>
      </c>
      <c r="AB259" s="38">
        <v>44097</v>
      </c>
      <c r="AC259" s="157">
        <v>931.75</v>
      </c>
      <c r="AD259" s="58" t="s">
        <v>334</v>
      </c>
      <c r="AE259" s="42">
        <v>5824020</v>
      </c>
      <c r="AF259" s="59">
        <v>43990</v>
      </c>
      <c r="AG259" s="155">
        <v>6188.99</v>
      </c>
      <c r="AH259" s="169" t="s">
        <v>335</v>
      </c>
      <c r="AI259" s="58">
        <v>7845990</v>
      </c>
      <c r="AJ259" s="59">
        <v>44148</v>
      </c>
      <c r="AK259" s="157">
        <v>16396.150000000001</v>
      </c>
      <c r="AM259" s="40" t="s">
        <v>319</v>
      </c>
    </row>
    <row r="260" spans="1:39" ht="15.75" customHeight="1" x14ac:dyDescent="0.25">
      <c r="A260" s="59" t="s">
        <v>728</v>
      </c>
      <c r="B260" s="283"/>
      <c r="C260" s="7"/>
      <c r="D260" s="7"/>
      <c r="E260" s="7"/>
      <c r="F260" s="7"/>
      <c r="G260" s="26">
        <v>40</v>
      </c>
      <c r="H260" s="59">
        <v>43831</v>
      </c>
      <c r="I260" s="37">
        <v>6459615</v>
      </c>
      <c r="J260" s="39">
        <v>26647.5</v>
      </c>
      <c r="K260" s="39">
        <v>26647.5</v>
      </c>
      <c r="L260" s="59">
        <v>44055</v>
      </c>
      <c r="M260" s="37">
        <v>60</v>
      </c>
      <c r="N260" s="59">
        <f t="shared" si="1"/>
        <v>44115</v>
      </c>
      <c r="O260" s="271"/>
      <c r="P260" s="271"/>
      <c r="Q260" s="271"/>
      <c r="R260" s="271"/>
      <c r="S260" s="58">
        <v>7388958</v>
      </c>
      <c r="T260" s="59">
        <v>44124</v>
      </c>
      <c r="U260" s="58">
        <v>7388958</v>
      </c>
      <c r="V260" s="59">
        <v>44133</v>
      </c>
      <c r="Z260" s="58">
        <v>9517</v>
      </c>
      <c r="AA260" s="64">
        <v>7388402</v>
      </c>
      <c r="AB260" s="38">
        <v>44078</v>
      </c>
      <c r="AC260" s="157">
        <v>16396.150000000001</v>
      </c>
      <c r="AD260" s="58" t="s">
        <v>336</v>
      </c>
      <c r="AE260" s="42">
        <v>5824080</v>
      </c>
      <c r="AF260" s="59">
        <v>43990</v>
      </c>
      <c r="AG260" s="155">
        <v>26647.5</v>
      </c>
      <c r="AH260" s="169" t="s">
        <v>337</v>
      </c>
      <c r="AI260" s="58">
        <v>7846044</v>
      </c>
      <c r="AJ260" s="59">
        <v>44148</v>
      </c>
      <c r="AK260" s="157">
        <v>931.75</v>
      </c>
      <c r="AM260" s="40" t="s">
        <v>319</v>
      </c>
    </row>
    <row r="261" spans="1:39" ht="15.75" customHeight="1" x14ac:dyDescent="0.25">
      <c r="A261" s="59" t="s">
        <v>728</v>
      </c>
      <c r="B261" s="283"/>
      <c r="C261" s="7"/>
      <c r="D261" s="7"/>
      <c r="E261" s="7"/>
      <c r="F261" s="7"/>
      <c r="G261" s="26">
        <v>41</v>
      </c>
      <c r="H261" s="59">
        <v>43831</v>
      </c>
      <c r="I261" s="37">
        <v>6459726</v>
      </c>
      <c r="J261" s="39">
        <v>16396.150000000001</v>
      </c>
      <c r="K261" s="39">
        <v>16396.150000000001</v>
      </c>
      <c r="L261" s="59">
        <v>44055</v>
      </c>
      <c r="M261" s="37">
        <v>60</v>
      </c>
      <c r="N261" s="59">
        <f t="shared" si="1"/>
        <v>44115</v>
      </c>
      <c r="O261" s="271"/>
      <c r="P261" s="271"/>
      <c r="Q261" s="271"/>
      <c r="R261" s="271"/>
      <c r="S261" s="58">
        <v>7819868</v>
      </c>
      <c r="T261" s="59">
        <v>44161</v>
      </c>
      <c r="U261" s="58">
        <v>7875730</v>
      </c>
      <c r="V261" s="59">
        <v>44165</v>
      </c>
      <c r="Z261" s="58">
        <v>3092</v>
      </c>
      <c r="AA261" s="64">
        <v>7803061</v>
      </c>
      <c r="AB261" s="38">
        <v>44153</v>
      </c>
      <c r="AC261" s="157">
        <v>14326</v>
      </c>
      <c r="AD261" s="58" t="s">
        <v>338</v>
      </c>
      <c r="AE261" s="42">
        <v>5824127</v>
      </c>
      <c r="AF261" s="59">
        <v>43990</v>
      </c>
      <c r="AG261" s="155">
        <v>16396.150000000001</v>
      </c>
      <c r="AH261" s="169" t="s">
        <v>339</v>
      </c>
      <c r="AI261" s="58">
        <v>9166609</v>
      </c>
      <c r="AJ261" s="59">
        <v>44294</v>
      </c>
      <c r="AK261" s="157">
        <v>14326</v>
      </c>
      <c r="AM261" s="40" t="s">
        <v>319</v>
      </c>
    </row>
    <row r="262" spans="1:39" ht="15.75" customHeight="1" x14ac:dyDescent="0.25">
      <c r="A262" s="59" t="s">
        <v>728</v>
      </c>
      <c r="B262" s="283"/>
      <c r="C262" s="7"/>
      <c r="D262" s="7"/>
      <c r="E262" s="7"/>
      <c r="F262" s="7"/>
      <c r="G262" s="26">
        <v>42</v>
      </c>
      <c r="H262" s="59">
        <v>43831</v>
      </c>
      <c r="I262" s="37">
        <v>6569391</v>
      </c>
      <c r="J262" s="39">
        <v>3207.6</v>
      </c>
      <c r="K262" s="39">
        <v>3207.6</v>
      </c>
      <c r="L262" s="59">
        <v>44055</v>
      </c>
      <c r="M262" s="37">
        <v>60</v>
      </c>
      <c r="N262" s="59">
        <f t="shared" si="1"/>
        <v>44115</v>
      </c>
      <c r="O262" s="271"/>
      <c r="P262" s="271"/>
      <c r="Q262" s="271"/>
      <c r="R262" s="271"/>
      <c r="S262" s="58">
        <v>7819824</v>
      </c>
      <c r="T262" s="59">
        <v>44175</v>
      </c>
      <c r="U262" s="58">
        <v>7875826</v>
      </c>
      <c r="V262" s="59">
        <v>44165</v>
      </c>
      <c r="Z262" s="58">
        <v>9530</v>
      </c>
      <c r="AA262" s="64">
        <v>7803156</v>
      </c>
      <c r="AB262" s="38">
        <v>44162</v>
      </c>
      <c r="AC262" s="157">
        <v>6188.99</v>
      </c>
      <c r="AD262" s="58" t="s">
        <v>340</v>
      </c>
      <c r="AE262" s="42">
        <v>5824244</v>
      </c>
      <c r="AF262" s="59">
        <v>43990</v>
      </c>
      <c r="AG262" s="155">
        <v>3207.6</v>
      </c>
      <c r="AH262" s="169" t="s">
        <v>341</v>
      </c>
      <c r="AI262" s="58">
        <v>9166623</v>
      </c>
      <c r="AJ262" s="59">
        <v>44294</v>
      </c>
      <c r="AK262" s="157">
        <v>6188.99</v>
      </c>
      <c r="AM262" s="40" t="s">
        <v>319</v>
      </c>
    </row>
    <row r="263" spans="1:39" ht="15.75" customHeight="1" x14ac:dyDescent="0.25">
      <c r="A263" s="59" t="s">
        <v>728</v>
      </c>
      <c r="B263" s="283"/>
      <c r="C263" s="7"/>
      <c r="D263" s="7"/>
      <c r="E263" s="7"/>
      <c r="F263" s="7"/>
      <c r="G263" s="292">
        <v>43</v>
      </c>
      <c r="H263" s="306">
        <v>43831</v>
      </c>
      <c r="I263" s="37">
        <v>6461269</v>
      </c>
      <c r="J263" s="39">
        <v>931.75</v>
      </c>
      <c r="K263" s="39">
        <v>931.75</v>
      </c>
      <c r="L263" s="59">
        <v>44055</v>
      </c>
      <c r="M263" s="37">
        <v>60</v>
      </c>
      <c r="N263" s="59">
        <f t="shared" si="1"/>
        <v>44115</v>
      </c>
      <c r="O263" s="271"/>
      <c r="P263" s="271"/>
      <c r="Q263" s="271"/>
      <c r="R263" s="271"/>
      <c r="Z263" s="58">
        <v>283</v>
      </c>
      <c r="AA263" s="64">
        <v>9517218</v>
      </c>
      <c r="AB263" s="38">
        <v>44166</v>
      </c>
      <c r="AC263" s="157">
        <v>3207.6</v>
      </c>
      <c r="AD263" s="58" t="s">
        <v>342</v>
      </c>
      <c r="AE263" s="42">
        <v>5824310</v>
      </c>
      <c r="AF263" s="59">
        <v>43990</v>
      </c>
      <c r="AG263" s="155">
        <v>931.75</v>
      </c>
      <c r="AH263" s="169" t="s">
        <v>343</v>
      </c>
      <c r="AI263" s="58">
        <v>11628136</v>
      </c>
      <c r="AJ263" s="59">
        <v>44459</v>
      </c>
      <c r="AK263" s="157">
        <v>3207.6</v>
      </c>
      <c r="AM263" s="40" t="s">
        <v>319</v>
      </c>
    </row>
    <row r="264" spans="1:39" ht="15.75" customHeight="1" x14ac:dyDescent="0.25">
      <c r="A264" s="59" t="s">
        <v>728</v>
      </c>
      <c r="B264" s="283"/>
      <c r="C264" s="7"/>
      <c r="D264" s="7"/>
      <c r="E264" s="7"/>
      <c r="F264" s="7"/>
      <c r="G264" s="286"/>
      <c r="H264" s="271"/>
      <c r="J264" s="39"/>
      <c r="K264" s="39"/>
      <c r="AA264" s="64"/>
      <c r="AC264" s="157"/>
      <c r="AD264" s="58" t="s">
        <v>344</v>
      </c>
      <c r="AE264" s="42">
        <v>6160029</v>
      </c>
      <c r="AF264" s="59">
        <v>44022</v>
      </c>
      <c r="AG264" s="155">
        <v>58788.33</v>
      </c>
      <c r="AJ264" s="123"/>
      <c r="AK264" s="157"/>
      <c r="AM264" s="40"/>
    </row>
    <row r="265" spans="1:39" ht="15.75" customHeight="1" x14ac:dyDescent="0.25">
      <c r="A265" s="59" t="s">
        <v>728</v>
      </c>
      <c r="B265" s="284"/>
      <c r="C265" s="43"/>
      <c r="D265" s="43"/>
      <c r="E265" s="43"/>
      <c r="F265" s="43"/>
      <c r="G265" s="287"/>
      <c r="H265" s="279"/>
      <c r="I265" s="44"/>
      <c r="J265" s="45"/>
      <c r="K265" s="45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121"/>
      <c r="AB265" s="47"/>
      <c r="AC265" s="158"/>
      <c r="AD265" s="44" t="s">
        <v>345</v>
      </c>
      <c r="AE265" s="46">
        <v>6160051</v>
      </c>
      <c r="AF265" s="75">
        <v>44022</v>
      </c>
      <c r="AG265" s="153">
        <v>58288.39</v>
      </c>
      <c r="AH265" s="55"/>
      <c r="AI265" s="44"/>
      <c r="AJ265" s="75"/>
      <c r="AK265" s="158"/>
      <c r="AL265" s="44"/>
      <c r="AM265" s="48"/>
    </row>
    <row r="266" spans="1:39" ht="15.75" customHeight="1" x14ac:dyDescent="0.25">
      <c r="A266" s="59" t="s">
        <v>728</v>
      </c>
      <c r="B266" s="282" t="s">
        <v>346</v>
      </c>
      <c r="C266" s="33"/>
      <c r="D266" s="33"/>
      <c r="E266" s="33"/>
      <c r="F266" s="33"/>
      <c r="G266" s="285">
        <v>96</v>
      </c>
      <c r="H266" s="280">
        <v>44562</v>
      </c>
      <c r="I266" s="278">
        <v>17061995</v>
      </c>
      <c r="J266" s="53">
        <v>14380</v>
      </c>
      <c r="K266" s="272">
        <v>43069</v>
      </c>
      <c r="L266" s="280">
        <v>44866</v>
      </c>
      <c r="M266" s="278">
        <v>30</v>
      </c>
      <c r="N266" s="280">
        <f>L266+M266</f>
        <v>44896</v>
      </c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>
        <v>5051</v>
      </c>
      <c r="AA266" s="122">
        <v>18151599</v>
      </c>
      <c r="AB266" s="50">
        <v>44881</v>
      </c>
      <c r="AC266" s="156">
        <v>7391.8</v>
      </c>
      <c r="AD266" s="49" t="s">
        <v>347</v>
      </c>
      <c r="AE266" s="56">
        <v>16816769</v>
      </c>
      <c r="AF266" s="57">
        <v>44847</v>
      </c>
      <c r="AG266" s="152">
        <v>43069</v>
      </c>
      <c r="AH266" s="35" t="s">
        <v>348</v>
      </c>
      <c r="AI266" s="49">
        <v>18562684</v>
      </c>
      <c r="AJ266" s="57">
        <v>44956</v>
      </c>
      <c r="AK266" s="156">
        <v>7391.8</v>
      </c>
      <c r="AL266" s="49"/>
      <c r="AM266" s="36" t="s">
        <v>319</v>
      </c>
    </row>
    <row r="267" spans="1:39" ht="15.75" customHeight="1" x14ac:dyDescent="0.25">
      <c r="A267" s="59" t="s">
        <v>728</v>
      </c>
      <c r="B267" s="283"/>
      <c r="C267" s="90"/>
      <c r="D267" s="90"/>
      <c r="E267" s="90"/>
      <c r="F267" s="90"/>
      <c r="G267" s="286"/>
      <c r="H267" s="271"/>
      <c r="I267" s="271"/>
      <c r="J267" s="39">
        <v>2200</v>
      </c>
      <c r="K267" s="271"/>
      <c r="L267" s="271"/>
      <c r="M267" s="271"/>
      <c r="N267" s="271"/>
      <c r="Z267" s="58">
        <v>5608</v>
      </c>
      <c r="AA267" s="64">
        <v>18278231</v>
      </c>
      <c r="AB267" s="38">
        <v>44936</v>
      </c>
      <c r="AC267" s="157">
        <v>2827.99</v>
      </c>
      <c r="AD267" s="58" t="s">
        <v>349</v>
      </c>
      <c r="AE267" s="42">
        <v>16816779</v>
      </c>
      <c r="AF267" s="59">
        <v>44847</v>
      </c>
      <c r="AG267" s="155">
        <v>11719.79</v>
      </c>
      <c r="AH267" s="169" t="s">
        <v>350</v>
      </c>
      <c r="AI267" s="58">
        <v>19407743</v>
      </c>
      <c r="AJ267" s="59">
        <v>45008</v>
      </c>
      <c r="AK267" s="157">
        <v>2827.99</v>
      </c>
      <c r="AM267" s="40" t="s">
        <v>319</v>
      </c>
    </row>
    <row r="268" spans="1:39" ht="15.75" customHeight="1" x14ac:dyDescent="0.25">
      <c r="A268" s="59" t="s">
        <v>728</v>
      </c>
      <c r="B268" s="283"/>
      <c r="C268" s="90"/>
      <c r="D268" s="90"/>
      <c r="E268" s="90"/>
      <c r="F268" s="90"/>
      <c r="G268" s="286"/>
      <c r="H268" s="271"/>
      <c r="I268" s="271"/>
      <c r="J268" s="39">
        <v>1990</v>
      </c>
      <c r="K268" s="271"/>
      <c r="L268" s="271"/>
      <c r="M268" s="271"/>
      <c r="N268" s="271"/>
      <c r="Z268" s="58">
        <v>3166</v>
      </c>
      <c r="AA268" s="64">
        <v>18183774</v>
      </c>
      <c r="AB268" s="38">
        <v>44917</v>
      </c>
      <c r="AC268" s="157">
        <v>19349</v>
      </c>
      <c r="AD268" s="58" t="s">
        <v>351</v>
      </c>
      <c r="AE268" s="42">
        <v>16816787</v>
      </c>
      <c r="AF268" s="59">
        <v>44847</v>
      </c>
      <c r="AG268" s="155">
        <v>2999.7</v>
      </c>
      <c r="AH268" s="169" t="s">
        <v>352</v>
      </c>
      <c r="AI268" s="58">
        <v>18727718</v>
      </c>
      <c r="AJ268" s="59">
        <v>44965</v>
      </c>
      <c r="AK268" s="157">
        <v>43069</v>
      </c>
      <c r="AM268" s="40" t="s">
        <v>319</v>
      </c>
    </row>
    <row r="269" spans="1:39" ht="15.75" customHeight="1" x14ac:dyDescent="0.25">
      <c r="A269" s="59" t="s">
        <v>728</v>
      </c>
      <c r="B269" s="283"/>
      <c r="C269" s="90"/>
      <c r="D269" s="90"/>
      <c r="E269" s="90"/>
      <c r="F269" s="90"/>
      <c r="G269" s="286"/>
      <c r="H269" s="271"/>
      <c r="I269" s="271"/>
      <c r="J269" s="39">
        <v>630</v>
      </c>
      <c r="K269" s="271"/>
      <c r="L269" s="271"/>
      <c r="M269" s="271"/>
      <c r="N269" s="271"/>
      <c r="Z269" s="58">
        <v>2321</v>
      </c>
      <c r="AA269" s="64">
        <v>17649857</v>
      </c>
      <c r="AB269" s="38">
        <v>44897</v>
      </c>
      <c r="AC269" s="157">
        <v>4499.7</v>
      </c>
      <c r="AD269" s="58" t="s">
        <v>353</v>
      </c>
      <c r="AE269" s="42">
        <v>17036634</v>
      </c>
      <c r="AF269" s="59">
        <v>44860</v>
      </c>
      <c r="AG269" s="155">
        <v>10219.790000000001</v>
      </c>
      <c r="AH269" s="169" t="s">
        <v>354</v>
      </c>
      <c r="AI269" s="58">
        <v>18016219</v>
      </c>
      <c r="AJ269" s="59">
        <v>44910</v>
      </c>
      <c r="AK269" s="157">
        <v>4499.7</v>
      </c>
      <c r="AM269" s="40" t="s">
        <v>319</v>
      </c>
    </row>
    <row r="270" spans="1:39" ht="15.75" customHeight="1" x14ac:dyDescent="0.25">
      <c r="A270" s="59" t="s">
        <v>728</v>
      </c>
      <c r="B270" s="283"/>
      <c r="C270" s="90"/>
      <c r="D270" s="90"/>
      <c r="E270" s="90"/>
      <c r="F270" s="90"/>
      <c r="G270" s="286"/>
      <c r="H270" s="271"/>
      <c r="I270" s="271"/>
      <c r="J270" s="39">
        <v>460</v>
      </c>
      <c r="K270" s="271"/>
      <c r="L270" s="271"/>
      <c r="M270" s="271"/>
      <c r="N270" s="271"/>
      <c r="AA270" s="64"/>
      <c r="AC270" s="157"/>
      <c r="AD270" s="58" t="s">
        <v>355</v>
      </c>
      <c r="AE270" s="42">
        <v>17036674</v>
      </c>
      <c r="AF270" s="59">
        <v>44860</v>
      </c>
      <c r="AG270" s="155">
        <v>4499.7</v>
      </c>
      <c r="AJ270" s="123"/>
      <c r="AK270" s="157"/>
      <c r="AM270" s="40"/>
    </row>
    <row r="271" spans="1:39" ht="15.75" customHeight="1" x14ac:dyDescent="0.25">
      <c r="A271" s="59" t="s">
        <v>728</v>
      </c>
      <c r="B271" s="283"/>
      <c r="C271" s="90"/>
      <c r="D271" s="90"/>
      <c r="E271" s="90"/>
      <c r="F271" s="90"/>
      <c r="G271" s="286"/>
      <c r="H271" s="271"/>
      <c r="I271" s="271"/>
      <c r="J271" s="39">
        <v>1485</v>
      </c>
      <c r="K271" s="271"/>
      <c r="L271" s="271"/>
      <c r="M271" s="271"/>
      <c r="N271" s="271"/>
      <c r="AA271" s="64"/>
      <c r="AC271" s="157"/>
      <c r="AE271" s="42"/>
      <c r="AG271" s="155"/>
      <c r="AJ271" s="123"/>
      <c r="AK271" s="157"/>
      <c r="AM271" s="40"/>
    </row>
    <row r="272" spans="1:39" ht="15.75" customHeight="1" x14ac:dyDescent="0.25">
      <c r="A272" s="59" t="s">
        <v>728</v>
      </c>
      <c r="B272" s="283"/>
      <c r="C272" s="7"/>
      <c r="D272" s="7"/>
      <c r="E272" s="7"/>
      <c r="F272" s="7"/>
      <c r="G272" s="292">
        <v>97</v>
      </c>
      <c r="H272" s="274">
        <v>44562</v>
      </c>
      <c r="I272" s="275">
        <v>17062012</v>
      </c>
      <c r="J272" s="39">
        <v>339.79</v>
      </c>
      <c r="K272" s="273">
        <v>10219.790000000001</v>
      </c>
      <c r="L272" s="271"/>
      <c r="M272" s="271"/>
      <c r="N272" s="271"/>
      <c r="AA272" s="64"/>
      <c r="AC272" s="157"/>
      <c r="AE272" s="42"/>
      <c r="AG272" s="155"/>
      <c r="AJ272" s="123"/>
      <c r="AK272" s="157"/>
      <c r="AM272" s="40"/>
    </row>
    <row r="273" spans="1:39" ht="15.75" customHeight="1" x14ac:dyDescent="0.25">
      <c r="A273" s="59" t="s">
        <v>728</v>
      </c>
      <c r="B273" s="283"/>
      <c r="C273" s="7"/>
      <c r="D273" s="7"/>
      <c r="E273" s="7"/>
      <c r="F273" s="7"/>
      <c r="G273" s="286"/>
      <c r="H273" s="271"/>
      <c r="I273" s="271"/>
      <c r="J273" s="39">
        <v>21.99</v>
      </c>
      <c r="K273" s="271"/>
      <c r="L273" s="271"/>
      <c r="M273" s="271"/>
      <c r="N273" s="271"/>
      <c r="AA273" s="64"/>
      <c r="AC273" s="157"/>
      <c r="AE273" s="42"/>
      <c r="AG273" s="155"/>
      <c r="AJ273" s="123"/>
      <c r="AK273" s="157"/>
      <c r="AM273" s="40"/>
    </row>
    <row r="274" spans="1:39" ht="15.75" customHeight="1" x14ac:dyDescent="0.25">
      <c r="A274" s="59" t="s">
        <v>728</v>
      </c>
      <c r="B274" s="283"/>
      <c r="C274" s="7"/>
      <c r="D274" s="7"/>
      <c r="E274" s="7"/>
      <c r="F274" s="7"/>
      <c r="G274" s="286"/>
      <c r="H274" s="271"/>
      <c r="I274" s="271"/>
      <c r="J274" s="39">
        <v>21.99</v>
      </c>
      <c r="K274" s="271"/>
      <c r="L274" s="271"/>
      <c r="M274" s="271"/>
      <c r="N274" s="271"/>
      <c r="AA274" s="64"/>
      <c r="AC274" s="157"/>
      <c r="AE274" s="42"/>
      <c r="AG274" s="155"/>
      <c r="AJ274" s="123"/>
      <c r="AK274" s="157"/>
      <c r="AM274" s="40"/>
    </row>
    <row r="275" spans="1:39" ht="15.75" customHeight="1" x14ac:dyDescent="0.25">
      <c r="A275" s="59" t="s">
        <v>728</v>
      </c>
      <c r="B275" s="283"/>
      <c r="C275" s="7"/>
      <c r="D275" s="7"/>
      <c r="E275" s="7"/>
      <c r="F275" s="7"/>
      <c r="G275" s="286"/>
      <c r="H275" s="271"/>
      <c r="I275" s="271"/>
      <c r="J275" s="39">
        <v>11.18</v>
      </c>
      <c r="K275" s="271"/>
      <c r="L275" s="271"/>
      <c r="M275" s="271"/>
      <c r="N275" s="271"/>
      <c r="AA275" s="64"/>
      <c r="AC275" s="157"/>
      <c r="AE275" s="42"/>
      <c r="AG275" s="155"/>
      <c r="AJ275" s="123"/>
      <c r="AK275" s="157"/>
      <c r="AM275" s="40"/>
    </row>
    <row r="276" spans="1:39" ht="15.75" customHeight="1" x14ac:dyDescent="0.25">
      <c r="A276" s="59" t="s">
        <v>728</v>
      </c>
      <c r="B276" s="283"/>
      <c r="C276" s="7"/>
      <c r="D276" s="7"/>
      <c r="E276" s="7"/>
      <c r="F276" s="7"/>
      <c r="G276" s="286"/>
      <c r="H276" s="271"/>
      <c r="I276" s="271"/>
      <c r="J276" s="39">
        <v>19.489999999999998</v>
      </c>
      <c r="K276" s="271"/>
      <c r="L276" s="271"/>
      <c r="M276" s="271"/>
      <c r="N276" s="271"/>
      <c r="AA276" s="64"/>
      <c r="AC276" s="157"/>
      <c r="AE276" s="42"/>
      <c r="AG276" s="155"/>
      <c r="AJ276" s="123"/>
      <c r="AK276" s="157"/>
      <c r="AM276" s="40"/>
    </row>
    <row r="277" spans="1:39" ht="15.75" customHeight="1" x14ac:dyDescent="0.25">
      <c r="A277" s="59" t="s">
        <v>728</v>
      </c>
      <c r="B277" s="283"/>
      <c r="C277" s="7"/>
      <c r="D277" s="7"/>
      <c r="E277" s="7"/>
      <c r="F277" s="7"/>
      <c r="G277" s="286"/>
      <c r="H277" s="271"/>
      <c r="I277" s="271"/>
      <c r="J277" s="39">
        <v>13.9</v>
      </c>
      <c r="K277" s="271"/>
      <c r="L277" s="271"/>
      <c r="M277" s="271"/>
      <c r="N277" s="271"/>
      <c r="AA277" s="64"/>
      <c r="AC277" s="157"/>
      <c r="AE277" s="42"/>
      <c r="AG277" s="155"/>
      <c r="AJ277" s="123"/>
      <c r="AK277" s="157"/>
      <c r="AM277" s="40"/>
    </row>
    <row r="278" spans="1:39" ht="15.75" customHeight="1" x14ac:dyDescent="0.25">
      <c r="A278" s="59" t="s">
        <v>728</v>
      </c>
      <c r="B278" s="283"/>
      <c r="C278" s="7"/>
      <c r="D278" s="7"/>
      <c r="E278" s="7"/>
      <c r="F278" s="7"/>
      <c r="G278" s="286"/>
      <c r="H278" s="271"/>
      <c r="I278" s="271"/>
      <c r="J278" s="39">
        <v>18.329999999999998</v>
      </c>
      <c r="K278" s="271"/>
      <c r="L278" s="271"/>
      <c r="M278" s="271"/>
      <c r="N278" s="271"/>
      <c r="AA278" s="64"/>
      <c r="AC278" s="157"/>
      <c r="AE278" s="42"/>
      <c r="AG278" s="155"/>
      <c r="AJ278" s="123"/>
      <c r="AK278" s="157"/>
      <c r="AM278" s="40"/>
    </row>
    <row r="279" spans="1:39" ht="15.75" customHeight="1" x14ac:dyDescent="0.25">
      <c r="A279" s="59" t="s">
        <v>728</v>
      </c>
      <c r="B279" s="283"/>
      <c r="C279" s="7"/>
      <c r="D279" s="7"/>
      <c r="E279" s="7"/>
      <c r="F279" s="7"/>
      <c r="G279" s="286"/>
      <c r="H279" s="271"/>
      <c r="I279" s="271"/>
      <c r="J279" s="39">
        <v>11.36</v>
      </c>
      <c r="K279" s="271"/>
      <c r="L279" s="271"/>
      <c r="M279" s="271"/>
      <c r="N279" s="271"/>
      <c r="AA279" s="64"/>
      <c r="AC279" s="157"/>
      <c r="AE279" s="42"/>
      <c r="AG279" s="155"/>
      <c r="AJ279" s="123"/>
      <c r="AK279" s="157"/>
      <c r="AM279" s="40"/>
    </row>
    <row r="280" spans="1:39" ht="15.75" customHeight="1" x14ac:dyDescent="0.25">
      <c r="A280" s="59" t="s">
        <v>728</v>
      </c>
      <c r="B280" s="283"/>
      <c r="C280" s="7"/>
      <c r="D280" s="7"/>
      <c r="E280" s="7"/>
      <c r="F280" s="7"/>
      <c r="G280" s="286"/>
      <c r="H280" s="271"/>
      <c r="I280" s="271"/>
      <c r="J280" s="39">
        <v>38.049999999999997</v>
      </c>
      <c r="K280" s="271"/>
      <c r="L280" s="271"/>
      <c r="M280" s="271"/>
      <c r="N280" s="271"/>
      <c r="AA280" s="64"/>
      <c r="AC280" s="157"/>
      <c r="AE280" s="42"/>
      <c r="AG280" s="155"/>
      <c r="AJ280" s="123"/>
      <c r="AK280" s="157"/>
      <c r="AM280" s="40"/>
    </row>
    <row r="281" spans="1:39" ht="15.75" customHeight="1" x14ac:dyDescent="0.25">
      <c r="A281" s="59" t="s">
        <v>728</v>
      </c>
      <c r="B281" s="283"/>
      <c r="C281" s="7"/>
      <c r="D281" s="7"/>
      <c r="E281" s="7"/>
      <c r="F281" s="7"/>
      <c r="G281" s="286"/>
      <c r="H281" s="271"/>
      <c r="I281" s="271"/>
      <c r="J281" s="39">
        <v>11.36</v>
      </c>
      <c r="K281" s="271"/>
      <c r="L281" s="271"/>
      <c r="M281" s="271"/>
      <c r="N281" s="271"/>
      <c r="AA281" s="64"/>
      <c r="AC281" s="157"/>
      <c r="AE281" s="42"/>
      <c r="AG281" s="155"/>
      <c r="AJ281" s="123"/>
      <c r="AK281" s="157"/>
      <c r="AM281" s="40"/>
    </row>
    <row r="282" spans="1:39" ht="15.75" customHeight="1" x14ac:dyDescent="0.25">
      <c r="A282" s="59" t="s">
        <v>728</v>
      </c>
      <c r="B282" s="283"/>
      <c r="C282" s="7"/>
      <c r="D282" s="7"/>
      <c r="E282" s="7"/>
      <c r="F282" s="7"/>
      <c r="G282" s="286"/>
      <c r="H282" s="271"/>
      <c r="I282" s="271"/>
      <c r="J282" s="39">
        <v>33.03</v>
      </c>
      <c r="K282" s="271"/>
      <c r="L282" s="271"/>
      <c r="M282" s="271"/>
      <c r="N282" s="271"/>
      <c r="AA282" s="64"/>
      <c r="AC282" s="157"/>
      <c r="AE282" s="42"/>
      <c r="AG282" s="155"/>
      <c r="AJ282" s="123"/>
      <c r="AK282" s="157"/>
      <c r="AM282" s="40"/>
    </row>
    <row r="283" spans="1:39" ht="15.75" customHeight="1" x14ac:dyDescent="0.25">
      <c r="A283" s="59" t="s">
        <v>728</v>
      </c>
      <c r="B283" s="283"/>
      <c r="C283" s="7"/>
      <c r="D283" s="7"/>
      <c r="E283" s="7"/>
      <c r="F283" s="7"/>
      <c r="G283" s="286"/>
      <c r="H283" s="271"/>
      <c r="I283" s="271"/>
      <c r="J283" s="39">
        <v>11.36</v>
      </c>
      <c r="K283" s="271"/>
      <c r="L283" s="271"/>
      <c r="M283" s="271"/>
      <c r="N283" s="271"/>
      <c r="AA283" s="64"/>
      <c r="AC283" s="157"/>
      <c r="AE283" s="42"/>
      <c r="AG283" s="155"/>
      <c r="AJ283" s="123"/>
      <c r="AK283" s="157"/>
      <c r="AM283" s="40"/>
    </row>
    <row r="284" spans="1:39" ht="15.75" customHeight="1" x14ac:dyDescent="0.25">
      <c r="A284" s="59" t="s">
        <v>728</v>
      </c>
      <c r="B284" s="283"/>
      <c r="C284" s="7"/>
      <c r="D284" s="7"/>
      <c r="E284" s="7"/>
      <c r="F284" s="7"/>
      <c r="G284" s="286"/>
      <c r="H284" s="271"/>
      <c r="I284" s="271"/>
      <c r="J284" s="39">
        <v>11.36</v>
      </c>
      <c r="K284" s="271"/>
      <c r="L284" s="271"/>
      <c r="M284" s="271"/>
      <c r="N284" s="271"/>
      <c r="AA284" s="64"/>
      <c r="AC284" s="157"/>
      <c r="AE284" s="42"/>
      <c r="AG284" s="155"/>
      <c r="AJ284" s="123"/>
      <c r="AK284" s="157"/>
      <c r="AM284" s="40"/>
    </row>
    <row r="285" spans="1:39" ht="15.75" customHeight="1" x14ac:dyDescent="0.25">
      <c r="A285" s="59" t="s">
        <v>728</v>
      </c>
      <c r="B285" s="283"/>
      <c r="C285" s="7"/>
      <c r="D285" s="7"/>
      <c r="E285" s="7"/>
      <c r="F285" s="7"/>
      <c r="G285" s="286"/>
      <c r="H285" s="271"/>
      <c r="I285" s="271"/>
      <c r="J285" s="39">
        <v>11.36</v>
      </c>
      <c r="K285" s="271"/>
      <c r="L285" s="271"/>
      <c r="M285" s="271"/>
      <c r="N285" s="271"/>
      <c r="AA285" s="64"/>
      <c r="AC285" s="157"/>
      <c r="AE285" s="42"/>
      <c r="AG285" s="155"/>
      <c r="AJ285" s="123"/>
      <c r="AK285" s="157"/>
      <c r="AM285" s="40"/>
    </row>
    <row r="286" spans="1:39" ht="15.75" customHeight="1" x14ac:dyDescent="0.25">
      <c r="A286" s="59" t="s">
        <v>728</v>
      </c>
      <c r="B286" s="283"/>
      <c r="C286" s="7"/>
      <c r="D286" s="7"/>
      <c r="E286" s="7"/>
      <c r="F286" s="7"/>
      <c r="G286" s="292">
        <v>98</v>
      </c>
      <c r="H286" s="274">
        <v>44562</v>
      </c>
      <c r="I286" s="275">
        <v>17062027</v>
      </c>
      <c r="J286" s="39">
        <v>45.45</v>
      </c>
      <c r="K286" s="273">
        <v>4499.7</v>
      </c>
      <c r="L286" s="271"/>
      <c r="M286" s="271"/>
      <c r="N286" s="271"/>
      <c r="AA286" s="64"/>
      <c r="AC286" s="157"/>
      <c r="AE286" s="42"/>
      <c r="AG286" s="155"/>
      <c r="AJ286" s="123"/>
      <c r="AK286" s="157"/>
      <c r="AM286" s="40"/>
    </row>
    <row r="287" spans="1:39" ht="15.75" customHeight="1" x14ac:dyDescent="0.25">
      <c r="A287" s="59" t="s">
        <v>728</v>
      </c>
      <c r="B287" s="284"/>
      <c r="C287" s="43"/>
      <c r="D287" s="43"/>
      <c r="E287" s="43"/>
      <c r="F287" s="43"/>
      <c r="G287" s="287"/>
      <c r="H287" s="279"/>
      <c r="I287" s="279"/>
      <c r="J287" s="45">
        <v>30</v>
      </c>
      <c r="K287" s="279"/>
      <c r="L287" s="279"/>
      <c r="M287" s="279"/>
      <c r="N287" s="279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121"/>
      <c r="AB287" s="47"/>
      <c r="AC287" s="158"/>
      <c r="AD287" s="44"/>
      <c r="AE287" s="46"/>
      <c r="AF287" s="44"/>
      <c r="AG287" s="153"/>
      <c r="AH287" s="55"/>
      <c r="AI287" s="44"/>
      <c r="AJ287" s="75"/>
      <c r="AK287" s="158"/>
      <c r="AL287" s="44"/>
      <c r="AM287" s="48"/>
    </row>
    <row r="288" spans="1:39" ht="15.75" customHeight="1" x14ac:dyDescent="0.25">
      <c r="A288" s="59" t="s">
        <v>728</v>
      </c>
      <c r="B288" s="282" t="s">
        <v>356</v>
      </c>
      <c r="C288" s="90"/>
      <c r="D288" s="90"/>
      <c r="E288" s="90"/>
      <c r="F288" s="90"/>
      <c r="G288" s="26">
        <v>60</v>
      </c>
      <c r="H288" s="280">
        <v>44197</v>
      </c>
      <c r="I288" s="58">
        <v>11123900</v>
      </c>
      <c r="J288" s="39">
        <v>14744.22</v>
      </c>
      <c r="K288" s="39">
        <v>14744.22</v>
      </c>
      <c r="L288" s="280">
        <v>44825</v>
      </c>
      <c r="M288" s="278">
        <v>30</v>
      </c>
      <c r="N288" s="280">
        <f>L288+M288</f>
        <v>44855</v>
      </c>
      <c r="O288" s="278" t="s">
        <v>357</v>
      </c>
      <c r="P288" s="280">
        <v>44494</v>
      </c>
      <c r="Q288" s="278" t="s">
        <v>357</v>
      </c>
      <c r="R288" s="280">
        <v>44494</v>
      </c>
      <c r="S288" s="58">
        <v>13027004</v>
      </c>
      <c r="T288" s="59">
        <v>44651</v>
      </c>
      <c r="U288" s="58">
        <v>15183971</v>
      </c>
      <c r="V288" s="59">
        <v>44652</v>
      </c>
      <c r="W288" s="58">
        <v>13027560</v>
      </c>
      <c r="X288" s="58" t="s">
        <v>358</v>
      </c>
      <c r="Z288" s="58">
        <v>661</v>
      </c>
      <c r="AA288" s="64">
        <v>12047586</v>
      </c>
      <c r="AB288" s="38">
        <v>44474</v>
      </c>
      <c r="AC288" s="157">
        <v>464.36</v>
      </c>
      <c r="AD288" s="58" t="s">
        <v>359</v>
      </c>
      <c r="AE288" s="42">
        <v>11032033</v>
      </c>
      <c r="AF288" s="59">
        <v>44441</v>
      </c>
      <c r="AG288" s="155">
        <v>14744.22</v>
      </c>
      <c r="AH288" s="169" t="s">
        <v>360</v>
      </c>
      <c r="AI288" s="58">
        <v>13133523</v>
      </c>
      <c r="AJ288" s="59">
        <v>44543</v>
      </c>
      <c r="AK288" s="157">
        <v>464.36</v>
      </c>
      <c r="AM288" s="40" t="s">
        <v>319</v>
      </c>
    </row>
    <row r="289" spans="1:39" ht="15.75" customHeight="1" x14ac:dyDescent="0.25">
      <c r="A289" s="59" t="s">
        <v>728</v>
      </c>
      <c r="B289" s="283"/>
      <c r="C289" s="7"/>
      <c r="D289" s="7"/>
      <c r="E289" s="7"/>
      <c r="F289" s="7"/>
      <c r="G289" s="26">
        <v>61</v>
      </c>
      <c r="H289" s="271"/>
      <c r="I289" s="58">
        <v>11123992</v>
      </c>
      <c r="J289" s="39">
        <v>60124.83</v>
      </c>
      <c r="K289" s="39">
        <v>60124.83</v>
      </c>
      <c r="L289" s="271"/>
      <c r="M289" s="271"/>
      <c r="N289" s="271"/>
      <c r="O289" s="271"/>
      <c r="P289" s="271"/>
      <c r="Q289" s="271"/>
      <c r="R289" s="271"/>
      <c r="S289" s="58">
        <v>12789409</v>
      </c>
      <c r="T289" s="59">
        <v>43848</v>
      </c>
      <c r="U289" s="58">
        <v>12789719</v>
      </c>
      <c r="V289" s="59">
        <v>44588</v>
      </c>
      <c r="W289" s="58">
        <v>12808999</v>
      </c>
      <c r="X289" s="58" t="s">
        <v>361</v>
      </c>
      <c r="Z289" s="58">
        <v>103</v>
      </c>
      <c r="AA289" s="64">
        <v>12065118</v>
      </c>
      <c r="AB289" s="38">
        <v>44474</v>
      </c>
      <c r="AC289" s="157">
        <v>4388.66</v>
      </c>
      <c r="AD289" s="58" t="s">
        <v>362</v>
      </c>
      <c r="AE289" s="42">
        <v>11032573</v>
      </c>
      <c r="AF289" s="59">
        <v>44441</v>
      </c>
      <c r="AG289" s="155">
        <v>8669.99</v>
      </c>
      <c r="AH289" s="169" t="s">
        <v>363</v>
      </c>
      <c r="AI289" s="58">
        <v>12537674</v>
      </c>
      <c r="AJ289" s="59">
        <v>44543</v>
      </c>
      <c r="AK289" s="157">
        <v>4388.66</v>
      </c>
      <c r="AM289" s="40" t="s">
        <v>319</v>
      </c>
    </row>
    <row r="290" spans="1:39" ht="15.75" customHeight="1" x14ac:dyDescent="0.25">
      <c r="A290" s="59" t="s">
        <v>728</v>
      </c>
      <c r="B290" s="283"/>
      <c r="C290" s="7"/>
      <c r="D290" s="7"/>
      <c r="E290" s="7"/>
      <c r="F290" s="7"/>
      <c r="G290" s="26">
        <v>62</v>
      </c>
      <c r="H290" s="271"/>
      <c r="I290" s="58">
        <v>11124099</v>
      </c>
      <c r="J290" s="39">
        <v>20555.02</v>
      </c>
      <c r="K290" s="39">
        <v>20555.02</v>
      </c>
      <c r="L290" s="271"/>
      <c r="M290" s="271"/>
      <c r="N290" s="271"/>
      <c r="O290" s="271"/>
      <c r="P290" s="271"/>
      <c r="Q290" s="271"/>
      <c r="R290" s="271"/>
      <c r="S290" s="58">
        <v>15183771</v>
      </c>
      <c r="T290" s="59">
        <v>44741</v>
      </c>
      <c r="U290" s="58">
        <v>15183971</v>
      </c>
      <c r="V290" s="59">
        <v>44741</v>
      </c>
      <c r="W290" s="58">
        <v>15184124</v>
      </c>
      <c r="X290" s="58" t="s">
        <v>364</v>
      </c>
      <c r="Z290" s="58">
        <v>3712</v>
      </c>
      <c r="AA290" s="64">
        <v>12113386</v>
      </c>
      <c r="AB290" s="38">
        <v>44480</v>
      </c>
      <c r="AC290" s="157">
        <v>1098</v>
      </c>
      <c r="AD290" s="58" t="s">
        <v>365</v>
      </c>
      <c r="AE290" s="42">
        <v>11032611</v>
      </c>
      <c r="AF290" s="59">
        <v>44441</v>
      </c>
      <c r="AG290" s="155">
        <v>11191</v>
      </c>
      <c r="AH290" s="169" t="s">
        <v>366</v>
      </c>
      <c r="AI290" s="58">
        <v>12537482</v>
      </c>
      <c r="AJ290" s="59">
        <v>44543</v>
      </c>
      <c r="AK290" s="157">
        <v>1098</v>
      </c>
      <c r="AM290" s="40" t="s">
        <v>319</v>
      </c>
    </row>
    <row r="291" spans="1:39" ht="15.75" customHeight="1" x14ac:dyDescent="0.25">
      <c r="A291" s="59" t="s">
        <v>728</v>
      </c>
      <c r="B291" s="283"/>
      <c r="C291" s="7"/>
      <c r="D291" s="7"/>
      <c r="E291" s="7"/>
      <c r="F291" s="7"/>
      <c r="G291" s="26">
        <v>63</v>
      </c>
      <c r="H291" s="271"/>
      <c r="I291" s="58">
        <v>11124158</v>
      </c>
      <c r="J291" s="39">
        <v>1270</v>
      </c>
      <c r="K291" s="39">
        <v>1270</v>
      </c>
      <c r="L291" s="271"/>
      <c r="M291" s="271"/>
      <c r="N291" s="271"/>
      <c r="O291" s="271"/>
      <c r="P291" s="271"/>
      <c r="Q291" s="271"/>
      <c r="R291" s="271"/>
      <c r="Z291" s="58">
        <v>10</v>
      </c>
      <c r="AA291" s="64">
        <v>12075160</v>
      </c>
      <c r="AB291" s="38">
        <v>44486</v>
      </c>
      <c r="AC291" s="157">
        <v>4500</v>
      </c>
      <c r="AD291" s="58" t="s">
        <v>367</v>
      </c>
      <c r="AE291" s="42">
        <v>11032709</v>
      </c>
      <c r="AF291" s="59">
        <v>44441</v>
      </c>
      <c r="AG291" s="155">
        <v>40263.839999999997</v>
      </c>
      <c r="AH291" s="169" t="s">
        <v>368</v>
      </c>
      <c r="AI291" s="58">
        <v>12537506</v>
      </c>
      <c r="AJ291" s="59">
        <v>44543</v>
      </c>
      <c r="AK291" s="157">
        <v>4500</v>
      </c>
      <c r="AM291" s="40" t="s">
        <v>319</v>
      </c>
    </row>
    <row r="292" spans="1:39" ht="15.75" customHeight="1" x14ac:dyDescent="0.25">
      <c r="A292" s="59" t="s">
        <v>728</v>
      </c>
      <c r="B292" s="283"/>
      <c r="C292" s="7"/>
      <c r="D292" s="7"/>
      <c r="E292" s="7"/>
      <c r="F292" s="7"/>
      <c r="G292" s="26">
        <v>64</v>
      </c>
      <c r="H292" s="271"/>
      <c r="I292" s="58">
        <v>11124233</v>
      </c>
      <c r="J292" s="39">
        <v>1098</v>
      </c>
      <c r="K292" s="39">
        <v>1098</v>
      </c>
      <c r="L292" s="271"/>
      <c r="M292" s="271"/>
      <c r="N292" s="271"/>
      <c r="O292" s="271"/>
      <c r="P292" s="271"/>
      <c r="Q292" s="271"/>
      <c r="R292" s="271"/>
      <c r="Z292" s="58">
        <v>685</v>
      </c>
      <c r="AA292" s="64">
        <v>12083439</v>
      </c>
      <c r="AB292" s="38">
        <v>44482</v>
      </c>
      <c r="AC292" s="157">
        <v>380</v>
      </c>
      <c r="AD292" s="58" t="s">
        <v>369</v>
      </c>
      <c r="AE292" s="42">
        <v>11032773</v>
      </c>
      <c r="AF292" s="59">
        <v>44441</v>
      </c>
      <c r="AG292" s="155">
        <v>15836.02</v>
      </c>
      <c r="AH292" s="169" t="s">
        <v>370</v>
      </c>
      <c r="AI292" s="58">
        <v>12537542</v>
      </c>
      <c r="AJ292" s="59">
        <v>44543</v>
      </c>
      <c r="AK292" s="157">
        <v>380</v>
      </c>
      <c r="AM292" s="40" t="s">
        <v>319</v>
      </c>
    </row>
    <row r="293" spans="1:39" ht="15.75" customHeight="1" x14ac:dyDescent="0.25">
      <c r="A293" s="59" t="s">
        <v>728</v>
      </c>
      <c r="B293" s="283"/>
      <c r="C293" s="7"/>
      <c r="D293" s="7"/>
      <c r="E293" s="7"/>
      <c r="F293" s="7"/>
      <c r="G293" s="26">
        <v>65</v>
      </c>
      <c r="H293" s="271"/>
      <c r="I293" s="58">
        <v>11124364</v>
      </c>
      <c r="J293" s="39">
        <v>1589</v>
      </c>
      <c r="K293" s="39">
        <v>1589</v>
      </c>
      <c r="L293" s="271"/>
      <c r="M293" s="271"/>
      <c r="N293" s="271"/>
      <c r="O293" s="271"/>
      <c r="P293" s="271"/>
      <c r="Q293" s="271"/>
      <c r="R293" s="271"/>
      <c r="S293" s="58">
        <v>12113534</v>
      </c>
      <c r="T293" s="59">
        <v>44523</v>
      </c>
      <c r="U293" s="58">
        <v>12113628</v>
      </c>
      <c r="V293" s="59">
        <v>44523</v>
      </c>
      <c r="W293" s="58">
        <v>12114313</v>
      </c>
      <c r="X293" s="78" t="s">
        <v>371</v>
      </c>
      <c r="Z293" s="58">
        <v>15391</v>
      </c>
      <c r="AA293" s="64">
        <v>12086127</v>
      </c>
      <c r="AB293" s="38">
        <v>44487</v>
      </c>
      <c r="AC293" s="157">
        <v>6800</v>
      </c>
      <c r="AD293" s="58" t="s">
        <v>372</v>
      </c>
      <c r="AE293" s="42">
        <v>11032802</v>
      </c>
      <c r="AF293" s="59">
        <v>44441</v>
      </c>
      <c r="AG293" s="155">
        <v>4719</v>
      </c>
      <c r="AH293" s="169" t="s">
        <v>373</v>
      </c>
      <c r="AI293" s="58">
        <v>12537573</v>
      </c>
      <c r="AJ293" s="59">
        <v>44543</v>
      </c>
      <c r="AK293" s="157">
        <v>6800</v>
      </c>
      <c r="AM293" s="40" t="s">
        <v>319</v>
      </c>
    </row>
    <row r="294" spans="1:39" ht="15.75" customHeight="1" x14ac:dyDescent="0.25">
      <c r="A294" s="59" t="s">
        <v>728</v>
      </c>
      <c r="B294" s="283"/>
      <c r="C294" s="7"/>
      <c r="D294" s="7"/>
      <c r="E294" s="7"/>
      <c r="F294" s="7"/>
      <c r="G294" s="26">
        <v>66</v>
      </c>
      <c r="H294" s="271"/>
      <c r="I294" s="58">
        <v>11124427</v>
      </c>
      <c r="J294" s="39">
        <v>5985</v>
      </c>
      <c r="K294" s="39">
        <v>5985</v>
      </c>
      <c r="L294" s="271"/>
      <c r="M294" s="271"/>
      <c r="N294" s="271"/>
      <c r="O294" s="271"/>
      <c r="P294" s="271"/>
      <c r="Q294" s="271"/>
      <c r="R294" s="271"/>
      <c r="Z294" s="58">
        <v>311</v>
      </c>
      <c r="AA294" s="64">
        <v>12089703</v>
      </c>
      <c r="AB294" s="38">
        <v>44501</v>
      </c>
      <c r="AC294" s="157">
        <v>1501.49</v>
      </c>
      <c r="AD294" s="58" t="s">
        <v>374</v>
      </c>
      <c r="AE294" s="42">
        <v>11032835</v>
      </c>
      <c r="AF294" s="59">
        <v>44441</v>
      </c>
      <c r="AG294" s="155">
        <v>1270</v>
      </c>
      <c r="AH294" s="169" t="s">
        <v>375</v>
      </c>
      <c r="AI294" s="58">
        <v>12537606</v>
      </c>
      <c r="AJ294" s="59">
        <v>44543</v>
      </c>
      <c r="AK294" s="157">
        <v>1501.47</v>
      </c>
      <c r="AM294" s="40" t="s">
        <v>319</v>
      </c>
    </row>
    <row r="295" spans="1:39" ht="15.75" customHeight="1" x14ac:dyDescent="0.25">
      <c r="A295" s="59" t="s">
        <v>728</v>
      </c>
      <c r="B295" s="283"/>
      <c r="C295" s="7"/>
      <c r="D295" s="7"/>
      <c r="E295" s="7"/>
      <c r="F295" s="7"/>
      <c r="G295" s="26">
        <v>67</v>
      </c>
      <c r="H295" s="271"/>
      <c r="I295" s="58">
        <v>11124499</v>
      </c>
      <c r="J295" s="39">
        <v>6800</v>
      </c>
      <c r="K295" s="39">
        <v>6800</v>
      </c>
      <c r="L295" s="271"/>
      <c r="M295" s="271"/>
      <c r="N295" s="271"/>
      <c r="O295" s="271"/>
      <c r="P295" s="271"/>
      <c r="Q295" s="271"/>
      <c r="R295" s="271"/>
      <c r="S295" s="58">
        <v>12086186</v>
      </c>
      <c r="T295" s="59">
        <v>44522</v>
      </c>
      <c r="U295" s="58">
        <v>12086502</v>
      </c>
      <c r="V295" s="59">
        <v>44523</v>
      </c>
      <c r="W295" s="58">
        <v>12087410</v>
      </c>
      <c r="X295" s="78" t="s">
        <v>376</v>
      </c>
      <c r="Z295" s="58">
        <v>1182</v>
      </c>
      <c r="AA295" s="64">
        <v>12751884</v>
      </c>
      <c r="AB295" s="38">
        <v>44519</v>
      </c>
      <c r="AC295" s="157">
        <v>12100</v>
      </c>
      <c r="AD295" s="58" t="s">
        <v>377</v>
      </c>
      <c r="AE295" s="42">
        <v>11032891</v>
      </c>
      <c r="AF295" s="59">
        <v>44441</v>
      </c>
      <c r="AG295" s="155">
        <v>1098</v>
      </c>
      <c r="AH295" s="169" t="s">
        <v>378</v>
      </c>
      <c r="AI295" s="58">
        <v>13364647</v>
      </c>
      <c r="AJ295" s="59">
        <v>44606</v>
      </c>
      <c r="AK295" s="157">
        <v>12100</v>
      </c>
      <c r="AM295" s="40" t="s">
        <v>319</v>
      </c>
    </row>
    <row r="296" spans="1:39" ht="15.75" customHeight="1" x14ac:dyDescent="0.25">
      <c r="A296" s="59" t="s">
        <v>728</v>
      </c>
      <c r="B296" s="283"/>
      <c r="C296" s="7"/>
      <c r="D296" s="7"/>
      <c r="E296" s="7"/>
      <c r="F296" s="7"/>
      <c r="G296" s="26">
        <v>68</v>
      </c>
      <c r="H296" s="271"/>
      <c r="I296" s="58">
        <v>11124588</v>
      </c>
      <c r="J296" s="39">
        <v>348</v>
      </c>
      <c r="K296" s="39">
        <v>348</v>
      </c>
      <c r="L296" s="271"/>
      <c r="M296" s="271"/>
      <c r="N296" s="271"/>
      <c r="O296" s="271"/>
      <c r="P296" s="271"/>
      <c r="Q296" s="271"/>
      <c r="R296" s="271"/>
      <c r="Z296" s="58">
        <v>1184</v>
      </c>
      <c r="AA296" s="64">
        <v>12751884</v>
      </c>
      <c r="AB296" s="38">
        <v>44522</v>
      </c>
      <c r="AC296" s="157">
        <v>7286.28</v>
      </c>
      <c r="AD296" s="58" t="s">
        <v>379</v>
      </c>
      <c r="AE296" s="42">
        <v>11032920</v>
      </c>
      <c r="AF296" s="59">
        <v>44441</v>
      </c>
      <c r="AG296" s="155">
        <v>1589</v>
      </c>
      <c r="AH296" s="169" t="s">
        <v>380</v>
      </c>
      <c r="AI296" s="58">
        <v>13364651</v>
      </c>
      <c r="AJ296" s="59">
        <v>44606</v>
      </c>
      <c r="AK296" s="157">
        <v>7286.28</v>
      </c>
      <c r="AM296" s="40" t="s">
        <v>319</v>
      </c>
    </row>
    <row r="297" spans="1:39" ht="15.75" customHeight="1" x14ac:dyDescent="0.25">
      <c r="A297" s="59" t="s">
        <v>728</v>
      </c>
      <c r="B297" s="283"/>
      <c r="C297" s="7"/>
      <c r="D297" s="7"/>
      <c r="E297" s="7"/>
      <c r="F297" s="7"/>
      <c r="G297" s="26">
        <v>69</v>
      </c>
      <c r="H297" s="271"/>
      <c r="I297" s="58">
        <v>11124665</v>
      </c>
      <c r="J297" s="39">
        <v>380</v>
      </c>
      <c r="K297" s="39">
        <v>380</v>
      </c>
      <c r="L297" s="271"/>
      <c r="M297" s="271"/>
      <c r="N297" s="271"/>
      <c r="O297" s="271"/>
      <c r="P297" s="271"/>
      <c r="Q297" s="271"/>
      <c r="R297" s="271"/>
      <c r="S297" s="58">
        <v>12083479</v>
      </c>
      <c r="T297" s="59">
        <v>44522</v>
      </c>
      <c r="U297" s="58">
        <v>12084472</v>
      </c>
      <c r="V297" s="59">
        <v>44523</v>
      </c>
      <c r="W297" s="58">
        <v>12085514</v>
      </c>
      <c r="X297" s="78" t="s">
        <v>381</v>
      </c>
      <c r="Z297" s="58">
        <v>1043</v>
      </c>
      <c r="AA297" s="64">
        <v>12789202</v>
      </c>
      <c r="AB297" s="38">
        <v>44546</v>
      </c>
      <c r="AC297" s="157">
        <v>20085.900000000001</v>
      </c>
      <c r="AD297" s="58" t="s">
        <v>382</v>
      </c>
      <c r="AE297" s="42">
        <v>11033046</v>
      </c>
      <c r="AF297" s="59">
        <v>44441</v>
      </c>
      <c r="AG297" s="155">
        <v>4388.66</v>
      </c>
      <c r="AH297" s="169" t="s">
        <v>383</v>
      </c>
      <c r="AI297" s="58">
        <v>14032321</v>
      </c>
      <c r="AJ297" s="59">
        <v>44655</v>
      </c>
      <c r="AK297" s="157">
        <v>20085.900000000001</v>
      </c>
      <c r="AM297" s="40" t="s">
        <v>319</v>
      </c>
    </row>
    <row r="298" spans="1:39" ht="15.75" customHeight="1" x14ac:dyDescent="0.25">
      <c r="A298" s="59" t="s">
        <v>728</v>
      </c>
      <c r="B298" s="283"/>
      <c r="C298" s="7"/>
      <c r="D298" s="7"/>
      <c r="E298" s="7"/>
      <c r="F298" s="7"/>
      <c r="G298" s="26">
        <v>70</v>
      </c>
      <c r="H298" s="271"/>
      <c r="I298" s="58">
        <v>11124764</v>
      </c>
      <c r="J298" s="39">
        <v>4861.8599999999997</v>
      </c>
      <c r="K298" s="39">
        <v>4861.8599999999997</v>
      </c>
      <c r="L298" s="271"/>
      <c r="M298" s="271"/>
      <c r="N298" s="271"/>
      <c r="O298" s="271"/>
      <c r="P298" s="271"/>
      <c r="Q298" s="271"/>
      <c r="R298" s="271"/>
      <c r="S298" s="58">
        <v>13380268</v>
      </c>
      <c r="T298" s="59">
        <v>44651</v>
      </c>
      <c r="U298" s="58">
        <v>13380553</v>
      </c>
      <c r="V298" s="59">
        <v>44627</v>
      </c>
      <c r="W298" s="58">
        <v>13380745</v>
      </c>
      <c r="X298" s="58" t="s">
        <v>384</v>
      </c>
      <c r="Z298" s="58">
        <v>10376</v>
      </c>
      <c r="AA298" s="64">
        <v>13026860</v>
      </c>
      <c r="AB298" s="38">
        <v>44497</v>
      </c>
      <c r="AC298" s="157">
        <v>14365.75</v>
      </c>
      <c r="AD298" s="58" t="s">
        <v>385</v>
      </c>
      <c r="AE298" s="42">
        <v>11033102</v>
      </c>
      <c r="AF298" s="59">
        <v>44441</v>
      </c>
      <c r="AG298" s="155">
        <v>1375.99</v>
      </c>
      <c r="AH298" s="169" t="s">
        <v>386</v>
      </c>
      <c r="AI298" s="58">
        <v>14032108</v>
      </c>
      <c r="AJ298" s="59">
        <v>44656</v>
      </c>
      <c r="AK298" s="157">
        <v>14365.75</v>
      </c>
      <c r="AM298" s="40" t="s">
        <v>319</v>
      </c>
    </row>
    <row r="299" spans="1:39" ht="15.75" customHeight="1" x14ac:dyDescent="0.25">
      <c r="A299" s="59" t="s">
        <v>728</v>
      </c>
      <c r="B299" s="283"/>
      <c r="C299" s="7"/>
      <c r="D299" s="7"/>
      <c r="E299" s="7"/>
      <c r="F299" s="7"/>
      <c r="G299" s="26">
        <v>71</v>
      </c>
      <c r="H299" s="271"/>
      <c r="I299" s="58">
        <v>11124943</v>
      </c>
      <c r="J299" s="39">
        <v>43375</v>
      </c>
      <c r="K299" s="39">
        <v>43375</v>
      </c>
      <c r="L299" s="271"/>
      <c r="M299" s="271"/>
      <c r="N299" s="271"/>
      <c r="O299" s="271"/>
      <c r="P299" s="271"/>
      <c r="Q299" s="271"/>
      <c r="R299" s="271"/>
      <c r="Z299" s="58">
        <v>2908</v>
      </c>
      <c r="AA299" s="64">
        <v>13379697</v>
      </c>
      <c r="AB299" s="38">
        <v>44540</v>
      </c>
      <c r="AC299" s="157">
        <v>427.12</v>
      </c>
      <c r="AD299" s="58" t="s">
        <v>387</v>
      </c>
      <c r="AE299" s="42">
        <v>11033144</v>
      </c>
      <c r="AF299" s="59">
        <v>44441</v>
      </c>
      <c r="AG299" s="155">
        <v>5985</v>
      </c>
      <c r="AH299" s="169" t="s">
        <v>388</v>
      </c>
      <c r="AI299" s="58">
        <v>14032144</v>
      </c>
      <c r="AJ299" s="59">
        <v>44656</v>
      </c>
      <c r="AK299" s="157">
        <v>427.12</v>
      </c>
      <c r="AM299" s="40" t="s">
        <v>319</v>
      </c>
    </row>
    <row r="300" spans="1:39" ht="15.75" customHeight="1" x14ac:dyDescent="0.25">
      <c r="A300" s="59" t="s">
        <v>728</v>
      </c>
      <c r="B300" s="283"/>
      <c r="C300" s="7"/>
      <c r="D300" s="7"/>
      <c r="E300" s="7"/>
      <c r="F300" s="7"/>
      <c r="G300" s="26">
        <v>72</v>
      </c>
      <c r="H300" s="271"/>
      <c r="I300" s="58">
        <v>11125044</v>
      </c>
      <c r="J300" s="39">
        <v>2758.6</v>
      </c>
      <c r="K300" s="39">
        <v>2758.6</v>
      </c>
      <c r="L300" s="271"/>
      <c r="M300" s="271"/>
      <c r="N300" s="271"/>
      <c r="O300" s="271"/>
      <c r="P300" s="271"/>
      <c r="Q300" s="271"/>
      <c r="R300" s="271"/>
      <c r="S300" s="58">
        <v>16548819</v>
      </c>
      <c r="T300" s="59">
        <v>44826</v>
      </c>
      <c r="U300" s="58">
        <v>16548906</v>
      </c>
      <c r="V300" s="59">
        <v>44827</v>
      </c>
      <c r="W300" s="58">
        <v>16549353</v>
      </c>
      <c r="X300" s="58" t="s">
        <v>389</v>
      </c>
      <c r="Z300" s="58">
        <v>1260</v>
      </c>
      <c r="AA300" s="64">
        <v>15179025</v>
      </c>
      <c r="AB300" s="38">
        <v>44720</v>
      </c>
      <c r="AC300" s="157">
        <v>40938.92</v>
      </c>
      <c r="AD300" s="58" t="s">
        <v>390</v>
      </c>
      <c r="AE300" s="42">
        <v>11033183</v>
      </c>
      <c r="AF300" s="59">
        <v>44441</v>
      </c>
      <c r="AG300" s="155">
        <v>6800</v>
      </c>
      <c r="AH300" s="169" t="s">
        <v>391</v>
      </c>
      <c r="AI300" s="58">
        <v>16487084</v>
      </c>
      <c r="AJ300" s="59">
        <v>44799</v>
      </c>
      <c r="AK300" s="157">
        <v>40038.93</v>
      </c>
      <c r="AM300" s="40" t="s">
        <v>319</v>
      </c>
    </row>
    <row r="301" spans="1:39" ht="15.75" customHeight="1" x14ac:dyDescent="0.25">
      <c r="A301" s="59" t="s">
        <v>728</v>
      </c>
      <c r="B301" s="283"/>
      <c r="C301" s="7"/>
      <c r="D301" s="7"/>
      <c r="E301" s="7"/>
      <c r="F301" s="7"/>
      <c r="G301" s="26">
        <v>73</v>
      </c>
      <c r="H301" s="271"/>
      <c r="I301" s="58">
        <v>11125169</v>
      </c>
      <c r="J301" s="39">
        <v>1501.47</v>
      </c>
      <c r="K301" s="39">
        <v>1501.47</v>
      </c>
      <c r="L301" s="271"/>
      <c r="M301" s="271"/>
      <c r="N301" s="271"/>
      <c r="O301" s="271"/>
      <c r="P301" s="271"/>
      <c r="Q301" s="271"/>
      <c r="R301" s="271"/>
      <c r="S301" s="58">
        <v>12090676</v>
      </c>
      <c r="T301" s="59">
        <v>44522</v>
      </c>
      <c r="U301" s="58">
        <v>12090651</v>
      </c>
      <c r="V301" s="59">
        <v>44523</v>
      </c>
      <c r="W301" s="58">
        <v>12090346</v>
      </c>
      <c r="X301" s="78" t="s">
        <v>392</v>
      </c>
      <c r="Z301" s="58">
        <v>1298</v>
      </c>
      <c r="AA301" s="64">
        <v>15923712</v>
      </c>
      <c r="AB301" s="38">
        <v>44775</v>
      </c>
      <c r="AC301" s="157">
        <v>40038.93</v>
      </c>
      <c r="AD301" s="58" t="s">
        <v>393</v>
      </c>
      <c r="AE301" s="42">
        <v>11034425</v>
      </c>
      <c r="AF301" s="59">
        <v>44441</v>
      </c>
      <c r="AG301" s="155">
        <v>348</v>
      </c>
      <c r="AJ301" s="123"/>
      <c r="AK301" s="157"/>
      <c r="AM301" s="40"/>
    </row>
    <row r="302" spans="1:39" ht="15.75" customHeight="1" x14ac:dyDescent="0.25">
      <c r="A302" s="59" t="s">
        <v>728</v>
      </c>
      <c r="B302" s="283"/>
      <c r="C302" s="7"/>
      <c r="D302" s="7"/>
      <c r="E302" s="7"/>
      <c r="F302" s="7"/>
      <c r="G302" s="26">
        <v>74</v>
      </c>
      <c r="H302" s="271"/>
      <c r="I302" s="58">
        <v>11125323</v>
      </c>
      <c r="J302" s="39">
        <v>1488.93</v>
      </c>
      <c r="K302" s="39">
        <v>1488.93</v>
      </c>
      <c r="L302" s="271"/>
      <c r="M302" s="271"/>
      <c r="N302" s="271"/>
      <c r="O302" s="271"/>
      <c r="P302" s="271"/>
      <c r="Q302" s="271"/>
      <c r="R302" s="271"/>
      <c r="S302" s="58">
        <v>12117424</v>
      </c>
      <c r="T302" s="59">
        <v>44523</v>
      </c>
      <c r="U302" s="58">
        <v>12117586</v>
      </c>
      <c r="V302" s="59">
        <v>44523</v>
      </c>
      <c r="W302" s="58">
        <v>12118141</v>
      </c>
      <c r="X302" s="58" t="s">
        <v>394</v>
      </c>
      <c r="Z302" s="58">
        <v>120</v>
      </c>
      <c r="AA302" s="64">
        <v>16548062</v>
      </c>
      <c r="AB302" s="38">
        <v>44454</v>
      </c>
      <c r="AC302" s="157">
        <v>2759.64</v>
      </c>
      <c r="AD302" s="58" t="s">
        <v>395</v>
      </c>
      <c r="AE302" s="42">
        <v>11034450</v>
      </c>
      <c r="AF302" s="59">
        <v>44441</v>
      </c>
      <c r="AG302" s="155">
        <v>380</v>
      </c>
      <c r="AJ302" s="123"/>
      <c r="AK302" s="157"/>
      <c r="AM302" s="40"/>
    </row>
    <row r="303" spans="1:39" ht="15.75" customHeight="1" x14ac:dyDescent="0.25">
      <c r="A303" s="59" t="s">
        <v>728</v>
      </c>
      <c r="B303" s="283"/>
      <c r="C303" s="7"/>
      <c r="D303" s="7"/>
      <c r="E303" s="7"/>
      <c r="F303" s="7"/>
      <c r="G303" s="26">
        <v>75</v>
      </c>
      <c r="H303" s="271"/>
      <c r="I303" s="58">
        <v>11125398</v>
      </c>
      <c r="J303" s="39">
        <v>19386.28</v>
      </c>
      <c r="K303" s="39">
        <v>19386.28</v>
      </c>
      <c r="L303" s="271"/>
      <c r="M303" s="271"/>
      <c r="N303" s="271"/>
      <c r="O303" s="271"/>
      <c r="P303" s="271"/>
      <c r="Q303" s="271"/>
      <c r="R303" s="271"/>
      <c r="S303" s="58">
        <v>12756658</v>
      </c>
      <c r="T303" s="59">
        <v>44573</v>
      </c>
      <c r="U303" s="58">
        <v>12757024</v>
      </c>
      <c r="V303" s="59">
        <v>44587</v>
      </c>
      <c r="W303" s="58">
        <v>12757573</v>
      </c>
      <c r="X303" s="58" t="s">
        <v>396</v>
      </c>
      <c r="Z303" s="58">
        <v>17393</v>
      </c>
      <c r="AA303" s="64">
        <v>12116940</v>
      </c>
      <c r="AB303" s="38">
        <v>44508</v>
      </c>
      <c r="AC303" s="157">
        <v>1448.93</v>
      </c>
      <c r="AD303" s="58" t="s">
        <v>397</v>
      </c>
      <c r="AE303" s="42">
        <v>11034488</v>
      </c>
      <c r="AF303" s="59">
        <v>44441</v>
      </c>
      <c r="AG303" s="155">
        <v>427.12</v>
      </c>
      <c r="AH303" s="169" t="s">
        <v>398</v>
      </c>
      <c r="AI303" s="58">
        <v>12537648</v>
      </c>
      <c r="AJ303" s="59">
        <v>44543</v>
      </c>
      <c r="AK303" s="157">
        <v>1488.93</v>
      </c>
      <c r="AM303" s="40" t="s">
        <v>319</v>
      </c>
    </row>
    <row r="304" spans="1:39" ht="15.75" customHeight="1" x14ac:dyDescent="0.25">
      <c r="A304" s="59" t="s">
        <v>728</v>
      </c>
      <c r="B304" s="283"/>
      <c r="C304" s="7"/>
      <c r="D304" s="7"/>
      <c r="E304" s="7"/>
      <c r="F304" s="7"/>
      <c r="G304" s="26">
        <v>76</v>
      </c>
      <c r="H304" s="271"/>
      <c r="I304" s="58">
        <v>11125514</v>
      </c>
      <c r="J304" s="39">
        <v>4500</v>
      </c>
      <c r="K304" s="39">
        <v>4500</v>
      </c>
      <c r="L304" s="271"/>
      <c r="M304" s="271"/>
      <c r="N304" s="271"/>
      <c r="O304" s="271"/>
      <c r="P304" s="271"/>
      <c r="Q304" s="271"/>
      <c r="R304" s="271"/>
      <c r="S304" s="58">
        <v>12082239</v>
      </c>
      <c r="T304" s="59">
        <v>44522</v>
      </c>
      <c r="U304" s="58">
        <v>12082349</v>
      </c>
      <c r="V304" s="59">
        <v>44523</v>
      </c>
      <c r="W304" s="58">
        <v>12082662</v>
      </c>
      <c r="X304" s="78" t="s">
        <v>399</v>
      </c>
      <c r="AA304" s="64"/>
      <c r="AC304" s="157"/>
      <c r="AD304" s="58" t="s">
        <v>400</v>
      </c>
      <c r="AE304" s="42">
        <v>11034524</v>
      </c>
      <c r="AF304" s="59">
        <v>44441</v>
      </c>
      <c r="AG304" s="155">
        <v>2094.9899999999998</v>
      </c>
      <c r="AJ304" s="123"/>
      <c r="AK304" s="157"/>
      <c r="AM304" s="40"/>
    </row>
    <row r="305" spans="1:39" ht="15.75" customHeight="1" x14ac:dyDescent="0.25">
      <c r="A305" s="59" t="s">
        <v>728</v>
      </c>
      <c r="B305" s="283"/>
      <c r="C305" s="7"/>
      <c r="D305" s="7"/>
      <c r="E305" s="7"/>
      <c r="F305" s="7"/>
      <c r="G305" s="26">
        <v>77</v>
      </c>
      <c r="H305" s="271"/>
      <c r="I305" s="58">
        <v>11125668</v>
      </c>
      <c r="J305" s="39">
        <v>464.39</v>
      </c>
      <c r="K305" s="39">
        <v>464.39</v>
      </c>
      <c r="L305" s="271"/>
      <c r="M305" s="271"/>
      <c r="N305" s="271"/>
      <c r="O305" s="271"/>
      <c r="P305" s="271"/>
      <c r="Q305" s="271"/>
      <c r="R305" s="271"/>
      <c r="S305" s="58">
        <v>12047607</v>
      </c>
      <c r="T305" s="59">
        <v>44518</v>
      </c>
      <c r="U305" s="58">
        <v>12047873</v>
      </c>
      <c r="V305" s="59">
        <v>44523</v>
      </c>
      <c r="W305" s="58">
        <v>12054970</v>
      </c>
      <c r="X305" s="58" t="s">
        <v>401</v>
      </c>
      <c r="AA305" s="64"/>
      <c r="AC305" s="157"/>
      <c r="AD305" s="58" t="s">
        <v>402</v>
      </c>
      <c r="AE305" s="42">
        <v>11034565</v>
      </c>
      <c r="AF305" s="59">
        <v>44441</v>
      </c>
      <c r="AG305" s="155">
        <v>2339.75</v>
      </c>
      <c r="AJ305" s="123"/>
      <c r="AK305" s="157"/>
      <c r="AM305" s="40"/>
    </row>
    <row r="306" spans="1:39" ht="15.75" customHeight="1" x14ac:dyDescent="0.25">
      <c r="A306" s="59" t="s">
        <v>728</v>
      </c>
      <c r="B306" s="283"/>
      <c r="C306" s="7"/>
      <c r="D306" s="7"/>
      <c r="E306" s="7"/>
      <c r="F306" s="7"/>
      <c r="G306" s="26">
        <v>78</v>
      </c>
      <c r="H306" s="271"/>
      <c r="I306" s="58">
        <v>11147496</v>
      </c>
      <c r="J306" s="39">
        <v>5764.65</v>
      </c>
      <c r="K306" s="39">
        <v>5764.65</v>
      </c>
      <c r="L306" s="271"/>
      <c r="M306" s="271"/>
      <c r="N306" s="271"/>
      <c r="O306" s="271"/>
      <c r="P306" s="271"/>
      <c r="Q306" s="271"/>
      <c r="R306" s="271"/>
      <c r="S306" s="58">
        <v>12065163</v>
      </c>
      <c r="T306" s="59">
        <v>44519</v>
      </c>
      <c r="U306" s="58">
        <v>12065525</v>
      </c>
      <c r="V306" s="59">
        <v>44522</v>
      </c>
      <c r="W306" s="58">
        <v>12065960</v>
      </c>
      <c r="X306" s="78" t="s">
        <v>403</v>
      </c>
      <c r="AA306" s="64"/>
      <c r="AC306" s="157"/>
      <c r="AD306" s="58" t="s">
        <v>404</v>
      </c>
      <c r="AE306" s="42">
        <v>11034853</v>
      </c>
      <c r="AF306" s="59">
        <v>44441</v>
      </c>
      <c r="AG306" s="155">
        <v>4841.32</v>
      </c>
      <c r="AJ306" s="123"/>
      <c r="AK306" s="157" t="s">
        <v>405</v>
      </c>
      <c r="AM306" s="40"/>
    </row>
    <row r="307" spans="1:39" ht="15.75" customHeight="1" x14ac:dyDescent="0.25">
      <c r="A307" s="59" t="s">
        <v>728</v>
      </c>
      <c r="B307" s="283"/>
      <c r="C307" s="7"/>
      <c r="D307" s="7"/>
      <c r="E307" s="7"/>
      <c r="F307" s="7"/>
      <c r="G307" s="26">
        <v>52</v>
      </c>
      <c r="H307" s="271"/>
      <c r="I307" s="58">
        <v>11450361</v>
      </c>
      <c r="J307" s="39">
        <v>4841.32</v>
      </c>
      <c r="K307" s="39">
        <v>4841.32</v>
      </c>
      <c r="L307" s="27">
        <v>44476</v>
      </c>
      <c r="M307" s="271"/>
      <c r="N307" s="27">
        <f>L307+M288</f>
        <v>44506</v>
      </c>
      <c r="O307" s="271"/>
      <c r="P307" s="271"/>
      <c r="Q307" s="271"/>
      <c r="R307" s="271"/>
      <c r="AA307" s="64"/>
      <c r="AC307" s="157"/>
      <c r="AD307" s="58" t="s">
        <v>406</v>
      </c>
      <c r="AE307" s="42">
        <v>11034903</v>
      </c>
      <c r="AF307" s="59">
        <v>44441</v>
      </c>
      <c r="AG307" s="155">
        <v>43375</v>
      </c>
      <c r="AJ307" s="123"/>
      <c r="AK307" s="157"/>
      <c r="AM307" s="40"/>
    </row>
    <row r="308" spans="1:39" ht="15.75" customHeight="1" x14ac:dyDescent="0.25">
      <c r="A308" s="59" t="s">
        <v>728</v>
      </c>
      <c r="B308" s="283"/>
      <c r="C308" s="7"/>
      <c r="D308" s="7"/>
      <c r="E308" s="7"/>
      <c r="F308" s="7"/>
      <c r="G308" s="26"/>
      <c r="H308" s="59"/>
      <c r="J308" s="39"/>
      <c r="K308" s="39"/>
      <c r="AA308" s="64"/>
      <c r="AC308" s="157"/>
      <c r="AD308" s="58" t="s">
        <v>407</v>
      </c>
      <c r="AE308" s="42">
        <v>11034946</v>
      </c>
      <c r="AF308" s="59">
        <v>44441</v>
      </c>
      <c r="AG308" s="155">
        <v>2758.6</v>
      </c>
      <c r="AJ308" s="123"/>
      <c r="AK308" s="157"/>
      <c r="AM308" s="40"/>
    </row>
    <row r="309" spans="1:39" ht="15.75" customHeight="1" x14ac:dyDescent="0.25">
      <c r="A309" s="59" t="s">
        <v>728</v>
      </c>
      <c r="B309" s="283"/>
      <c r="C309" s="7"/>
      <c r="D309" s="7"/>
      <c r="E309" s="7"/>
      <c r="F309" s="7"/>
      <c r="G309" s="26"/>
      <c r="H309" s="59"/>
      <c r="J309" s="39"/>
      <c r="K309" s="39"/>
      <c r="AA309" s="64"/>
      <c r="AC309" s="157"/>
      <c r="AD309" s="58" t="s">
        <v>408</v>
      </c>
      <c r="AE309" s="42">
        <v>11034976</v>
      </c>
      <c r="AF309" s="59">
        <v>44441</v>
      </c>
      <c r="AG309" s="155">
        <v>1501.47</v>
      </c>
      <c r="AJ309" s="123"/>
      <c r="AK309" s="157"/>
      <c r="AM309" s="40"/>
    </row>
    <row r="310" spans="1:39" ht="15.75" customHeight="1" x14ac:dyDescent="0.25">
      <c r="A310" s="59" t="s">
        <v>728</v>
      </c>
      <c r="B310" s="283"/>
      <c r="C310" s="7"/>
      <c r="D310" s="7"/>
      <c r="E310" s="7"/>
      <c r="F310" s="7"/>
      <c r="G310" s="26"/>
      <c r="H310" s="59"/>
      <c r="J310" s="39"/>
      <c r="K310" s="39"/>
      <c r="AA310" s="64"/>
      <c r="AC310" s="157"/>
      <c r="AD310" s="58" t="s">
        <v>409</v>
      </c>
      <c r="AE310" s="42">
        <v>11035014</v>
      </c>
      <c r="AF310" s="59">
        <v>44441</v>
      </c>
      <c r="AG310" s="155">
        <v>1488.93</v>
      </c>
      <c r="AJ310" s="123"/>
      <c r="AK310" s="157"/>
      <c r="AM310" s="40"/>
    </row>
    <row r="311" spans="1:39" ht="15.75" customHeight="1" x14ac:dyDescent="0.25">
      <c r="A311" s="59" t="s">
        <v>728</v>
      </c>
      <c r="B311" s="283"/>
      <c r="C311" s="7"/>
      <c r="D311" s="7"/>
      <c r="E311" s="7"/>
      <c r="F311" s="7"/>
      <c r="G311" s="26"/>
      <c r="H311" s="59"/>
      <c r="J311" s="39"/>
      <c r="K311" s="39"/>
      <c r="AA311" s="64"/>
      <c r="AC311" s="157"/>
      <c r="AD311" s="58" t="s">
        <v>410</v>
      </c>
      <c r="AE311" s="42">
        <v>11035047</v>
      </c>
      <c r="AF311" s="59">
        <v>44441</v>
      </c>
      <c r="AG311" s="155">
        <v>7268.28</v>
      </c>
      <c r="AJ311" s="123"/>
      <c r="AK311" s="157"/>
      <c r="AM311" s="40"/>
    </row>
    <row r="312" spans="1:39" ht="15.75" customHeight="1" x14ac:dyDescent="0.25">
      <c r="A312" s="59" t="s">
        <v>728</v>
      </c>
      <c r="B312" s="283"/>
      <c r="C312" s="7"/>
      <c r="D312" s="7"/>
      <c r="E312" s="7"/>
      <c r="F312" s="7"/>
      <c r="G312" s="26"/>
      <c r="H312" s="59"/>
      <c r="J312" s="39"/>
      <c r="K312" s="39"/>
      <c r="AA312" s="64"/>
      <c r="AC312" s="157"/>
      <c r="AD312" s="58" t="s">
        <v>411</v>
      </c>
      <c r="AE312" s="42">
        <v>11035129</v>
      </c>
      <c r="AF312" s="59">
        <v>44441</v>
      </c>
      <c r="AG312" s="155">
        <v>12100</v>
      </c>
      <c r="AJ312" s="123"/>
      <c r="AK312" s="157"/>
      <c r="AM312" s="40"/>
    </row>
    <row r="313" spans="1:39" ht="15.75" customHeight="1" x14ac:dyDescent="0.25">
      <c r="A313" s="59" t="s">
        <v>728</v>
      </c>
      <c r="B313" s="283"/>
      <c r="C313" s="7"/>
      <c r="D313" s="7"/>
      <c r="E313" s="7"/>
      <c r="F313" s="7"/>
      <c r="G313" s="26"/>
      <c r="H313" s="59"/>
      <c r="J313" s="39"/>
      <c r="K313" s="39"/>
      <c r="AA313" s="64"/>
      <c r="AC313" s="157"/>
      <c r="AD313" s="58" t="s">
        <v>412</v>
      </c>
      <c r="AE313" s="42">
        <v>11035179</v>
      </c>
      <c r="AF313" s="59">
        <v>44441</v>
      </c>
      <c r="AG313" s="155">
        <v>4500</v>
      </c>
      <c r="AJ313" s="123"/>
      <c r="AK313" s="157"/>
      <c r="AM313" s="40"/>
    </row>
    <row r="314" spans="1:39" ht="15.75" customHeight="1" x14ac:dyDescent="0.25">
      <c r="A314" s="59" t="s">
        <v>728</v>
      </c>
      <c r="B314" s="284"/>
      <c r="C314" s="43"/>
      <c r="D314" s="43"/>
      <c r="E314" s="43"/>
      <c r="F314" s="43"/>
      <c r="G314" s="14"/>
      <c r="H314" s="75"/>
      <c r="I314" s="44"/>
      <c r="J314" s="45"/>
      <c r="K314" s="45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121"/>
      <c r="AB314" s="47"/>
      <c r="AC314" s="158"/>
      <c r="AD314" s="44" t="s">
        <v>413</v>
      </c>
      <c r="AE314" s="46">
        <v>11035242</v>
      </c>
      <c r="AF314" s="75">
        <v>44441</v>
      </c>
      <c r="AG314" s="153">
        <v>464.39</v>
      </c>
      <c r="AH314" s="55"/>
      <c r="AI314" s="44"/>
      <c r="AJ314" s="75"/>
      <c r="AK314" s="158"/>
      <c r="AL314" s="44"/>
      <c r="AM314" s="48"/>
    </row>
    <row r="315" spans="1:39" ht="15.75" customHeight="1" x14ac:dyDescent="0.25">
      <c r="A315" s="59" t="s">
        <v>728</v>
      </c>
      <c r="B315" s="19" t="s">
        <v>414</v>
      </c>
      <c r="C315" s="67"/>
      <c r="D315" s="67"/>
      <c r="E315" s="20" t="s">
        <v>415</v>
      </c>
      <c r="F315" s="67"/>
      <c r="G315" s="21"/>
      <c r="H315" s="69"/>
      <c r="I315" s="70"/>
      <c r="J315" s="68"/>
      <c r="K315" s="68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124"/>
      <c r="AB315" s="73"/>
      <c r="AC315" s="162"/>
      <c r="AD315" s="70"/>
      <c r="AE315" s="71"/>
      <c r="AF315" s="70"/>
      <c r="AG315" s="154"/>
      <c r="AH315" s="74"/>
      <c r="AI315" s="70"/>
      <c r="AJ315" s="69"/>
      <c r="AK315" s="162"/>
      <c r="AL315" s="70"/>
      <c r="AM315" s="72"/>
    </row>
    <row r="316" spans="1:39" ht="15.75" customHeight="1" x14ac:dyDescent="0.25">
      <c r="A316" s="59" t="s">
        <v>728</v>
      </c>
      <c r="B316" s="282" t="s">
        <v>416</v>
      </c>
      <c r="C316" s="33"/>
      <c r="D316" s="33"/>
      <c r="E316" s="33"/>
      <c r="F316" s="33"/>
      <c r="G316" s="285">
        <v>7</v>
      </c>
      <c r="H316" s="280">
        <v>44562</v>
      </c>
      <c r="I316" s="278">
        <v>13519394</v>
      </c>
      <c r="J316" s="53">
        <v>2762.99</v>
      </c>
      <c r="K316" s="272">
        <v>12536.96</v>
      </c>
      <c r="L316" s="280">
        <v>44637</v>
      </c>
      <c r="M316" s="278">
        <v>30</v>
      </c>
      <c r="N316" s="280">
        <f>L316+M316</f>
        <v>44667</v>
      </c>
      <c r="O316" s="278" t="s">
        <v>357</v>
      </c>
      <c r="P316" s="278">
        <v>13686995</v>
      </c>
      <c r="Q316" s="278" t="s">
        <v>357</v>
      </c>
      <c r="R316" s="278">
        <v>13686995</v>
      </c>
      <c r="S316" s="278">
        <v>16075133</v>
      </c>
      <c r="T316" s="280">
        <v>44796</v>
      </c>
      <c r="U316" s="278">
        <v>16075327</v>
      </c>
      <c r="V316" s="280">
        <v>44804</v>
      </c>
      <c r="W316" s="278">
        <v>16075423</v>
      </c>
      <c r="X316" s="278" t="s">
        <v>417</v>
      </c>
      <c r="Y316" s="49"/>
      <c r="Z316" s="278">
        <v>3143</v>
      </c>
      <c r="AA316" s="300">
        <v>16074772</v>
      </c>
      <c r="AB316" s="280">
        <v>44739</v>
      </c>
      <c r="AC316" s="308">
        <v>12536.96</v>
      </c>
      <c r="AD316" s="49" t="s">
        <v>418</v>
      </c>
      <c r="AE316" s="56">
        <v>14464096</v>
      </c>
      <c r="AF316" s="57">
        <v>44697</v>
      </c>
      <c r="AG316" s="152">
        <v>12536.96</v>
      </c>
      <c r="AH316" s="35" t="s">
        <v>419</v>
      </c>
      <c r="AI316" s="49">
        <v>16705545</v>
      </c>
      <c r="AJ316" s="57">
        <v>44819</v>
      </c>
      <c r="AK316" s="156">
        <v>12536.96</v>
      </c>
      <c r="AL316" s="49"/>
      <c r="AM316" s="36" t="s">
        <v>319</v>
      </c>
    </row>
    <row r="317" spans="1:39" ht="15.75" customHeight="1" x14ac:dyDescent="0.25">
      <c r="A317" s="59" t="s">
        <v>728</v>
      </c>
      <c r="B317" s="283"/>
      <c r="C317" s="90"/>
      <c r="D317" s="90"/>
      <c r="E317" s="90"/>
      <c r="F317" s="90"/>
      <c r="G317" s="286"/>
      <c r="H317" s="271"/>
      <c r="I317" s="271"/>
      <c r="J317" s="39">
        <v>3257.99</v>
      </c>
      <c r="K317" s="271"/>
      <c r="L317" s="271"/>
      <c r="M317" s="271"/>
      <c r="N317" s="271"/>
      <c r="O317" s="271"/>
      <c r="P317" s="271"/>
      <c r="Q317" s="271"/>
      <c r="R317" s="271"/>
      <c r="S317" s="271"/>
      <c r="T317" s="271"/>
      <c r="U317" s="271"/>
      <c r="V317" s="271"/>
      <c r="W317" s="271"/>
      <c r="X317" s="271"/>
      <c r="Z317" s="271"/>
      <c r="AA317" s="271"/>
      <c r="AB317" s="307"/>
      <c r="AC317" s="309"/>
      <c r="AD317" s="58" t="s">
        <v>420</v>
      </c>
      <c r="AE317" s="42">
        <v>14464121</v>
      </c>
      <c r="AF317" s="59">
        <v>44697</v>
      </c>
      <c r="AG317" s="155">
        <v>199.98</v>
      </c>
      <c r="AH317" s="169" t="s">
        <v>421</v>
      </c>
      <c r="AI317" s="58">
        <v>21639648</v>
      </c>
      <c r="AJ317" s="59">
        <v>44963</v>
      </c>
      <c r="AK317" s="157">
        <v>199.98</v>
      </c>
      <c r="AM317" s="40" t="s">
        <v>319</v>
      </c>
    </row>
    <row r="318" spans="1:39" ht="15.75" customHeight="1" x14ac:dyDescent="0.25">
      <c r="A318" s="59" t="s">
        <v>728</v>
      </c>
      <c r="B318" s="284"/>
      <c r="C318" s="43"/>
      <c r="D318" s="43"/>
      <c r="E318" s="43"/>
      <c r="F318" s="43"/>
      <c r="G318" s="14">
        <v>8</v>
      </c>
      <c r="H318" s="279"/>
      <c r="I318" s="14">
        <v>13519677</v>
      </c>
      <c r="J318" s="45">
        <v>99.99</v>
      </c>
      <c r="K318" s="45">
        <v>199.98</v>
      </c>
      <c r="L318" s="75">
        <v>44637</v>
      </c>
      <c r="M318" s="279"/>
      <c r="N318" s="75">
        <f>L318+M316</f>
        <v>44667</v>
      </c>
      <c r="O318" s="279"/>
      <c r="P318" s="279"/>
      <c r="Q318" s="279"/>
      <c r="R318" s="279"/>
      <c r="S318" s="44">
        <v>18233315</v>
      </c>
      <c r="T318" s="75">
        <v>44942</v>
      </c>
      <c r="U318" s="44">
        <v>18233368</v>
      </c>
      <c r="V318" s="75">
        <v>44944</v>
      </c>
      <c r="W318" s="44">
        <v>18233646</v>
      </c>
      <c r="X318" s="44" t="s">
        <v>422</v>
      </c>
      <c r="Y318" s="44"/>
      <c r="Z318" s="14">
        <v>232</v>
      </c>
      <c r="AA318" s="119">
        <v>18232466</v>
      </c>
      <c r="AB318" s="47">
        <v>45215</v>
      </c>
      <c r="AC318" s="158">
        <v>199.98</v>
      </c>
      <c r="AD318" s="44"/>
      <c r="AE318" s="46"/>
      <c r="AF318" s="44"/>
      <c r="AG318" s="153"/>
      <c r="AH318" s="55"/>
      <c r="AI318" s="44"/>
      <c r="AJ318" s="75"/>
      <c r="AK318" s="158"/>
      <c r="AL318" s="44"/>
      <c r="AM318" s="48"/>
    </row>
    <row r="319" spans="1:39" ht="15.75" customHeight="1" x14ac:dyDescent="0.25">
      <c r="A319" s="59" t="s">
        <v>728</v>
      </c>
      <c r="B319" s="282" t="s">
        <v>309</v>
      </c>
      <c r="C319" s="33"/>
      <c r="D319" s="33"/>
      <c r="E319" s="33"/>
      <c r="F319" s="33"/>
      <c r="G319" s="11">
        <v>16</v>
      </c>
      <c r="H319" s="57">
        <v>43831</v>
      </c>
      <c r="I319" s="49">
        <v>5335401</v>
      </c>
      <c r="J319" s="53">
        <v>42030.5</v>
      </c>
      <c r="K319" s="53">
        <v>42030.5</v>
      </c>
      <c r="L319" s="57">
        <v>43937</v>
      </c>
      <c r="M319" s="49">
        <v>30</v>
      </c>
      <c r="N319" s="57">
        <f>L319+M319</f>
        <v>43967</v>
      </c>
      <c r="O319" s="24" t="s">
        <v>242</v>
      </c>
      <c r="P319" s="11">
        <v>5377920</v>
      </c>
      <c r="Q319" s="24" t="s">
        <v>242</v>
      </c>
      <c r="R319" s="11">
        <v>5377920</v>
      </c>
      <c r="S319" s="49">
        <v>5745337</v>
      </c>
      <c r="T319" s="57">
        <v>43983</v>
      </c>
      <c r="U319" s="49">
        <v>5750744</v>
      </c>
      <c r="V319" s="57">
        <v>43983</v>
      </c>
      <c r="W319" s="49"/>
      <c r="X319" s="49"/>
      <c r="Y319" s="49"/>
      <c r="Z319" s="11">
        <v>1732</v>
      </c>
      <c r="AA319" s="60">
        <v>5391413</v>
      </c>
      <c r="AB319" s="50">
        <v>44675</v>
      </c>
      <c r="AC319" s="156">
        <v>23140</v>
      </c>
      <c r="AD319" s="49" t="s">
        <v>310</v>
      </c>
      <c r="AE319" s="56">
        <v>5334840</v>
      </c>
      <c r="AF319" s="57">
        <v>43938</v>
      </c>
      <c r="AG319" s="152">
        <v>23140</v>
      </c>
      <c r="AH319" s="35" t="s">
        <v>311</v>
      </c>
      <c r="AI319" s="49">
        <v>5451298</v>
      </c>
      <c r="AJ319" s="57">
        <v>43951</v>
      </c>
      <c r="AK319" s="156">
        <v>23140</v>
      </c>
      <c r="AL319" s="49"/>
      <c r="AM319" s="36" t="s">
        <v>59</v>
      </c>
    </row>
    <row r="320" spans="1:39" ht="15.75" customHeight="1" x14ac:dyDescent="0.25">
      <c r="A320" s="59" t="s">
        <v>728</v>
      </c>
      <c r="B320" s="283"/>
      <c r="C320" s="7"/>
      <c r="D320" s="7"/>
      <c r="E320" s="7"/>
      <c r="F320" s="7"/>
      <c r="G320" s="26"/>
      <c r="H320" s="59"/>
      <c r="J320" s="39"/>
      <c r="K320" s="39"/>
      <c r="Z320" s="26">
        <v>1808</v>
      </c>
      <c r="AA320" s="62">
        <v>5745301</v>
      </c>
      <c r="AB320" s="38">
        <v>43965</v>
      </c>
      <c r="AC320" s="157">
        <v>9559.9</v>
      </c>
      <c r="AD320" s="58" t="s">
        <v>312</v>
      </c>
      <c r="AE320" s="42">
        <v>5334868</v>
      </c>
      <c r="AF320" s="59">
        <v>43938</v>
      </c>
      <c r="AG320" s="155">
        <v>18890.5</v>
      </c>
      <c r="AH320" s="169" t="s">
        <v>313</v>
      </c>
      <c r="AI320" s="58">
        <v>5788800</v>
      </c>
      <c r="AJ320" s="59">
        <v>43986</v>
      </c>
      <c r="AK320" s="157">
        <v>9559.9</v>
      </c>
      <c r="AM320" s="40" t="s">
        <v>59</v>
      </c>
    </row>
    <row r="321" spans="1:39" ht="15.75" customHeight="1" x14ac:dyDescent="0.25">
      <c r="A321" s="59" t="s">
        <v>728</v>
      </c>
      <c r="B321" s="284"/>
      <c r="C321" s="43"/>
      <c r="D321" s="43"/>
      <c r="E321" s="43"/>
      <c r="F321" s="43"/>
      <c r="G321" s="14"/>
      <c r="H321" s="75"/>
      <c r="I321" s="44"/>
      <c r="J321" s="45"/>
      <c r="K321" s="45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14">
        <v>1903</v>
      </c>
      <c r="AA321" s="119">
        <v>5941635</v>
      </c>
      <c r="AB321" s="47">
        <v>43997</v>
      </c>
      <c r="AC321" s="158">
        <v>9320.7999999999993</v>
      </c>
      <c r="AD321" s="44"/>
      <c r="AE321" s="46"/>
      <c r="AF321" s="44"/>
      <c r="AG321" s="153"/>
      <c r="AH321" s="55" t="s">
        <v>314</v>
      </c>
      <c r="AI321" s="44">
        <v>6070371</v>
      </c>
      <c r="AJ321" s="75">
        <v>44011</v>
      </c>
      <c r="AK321" s="158">
        <v>9320.7999999999993</v>
      </c>
      <c r="AL321" s="44"/>
      <c r="AM321" s="48" t="s">
        <v>59</v>
      </c>
    </row>
    <row r="322" spans="1:39" ht="15.75" customHeight="1" x14ac:dyDescent="0.25">
      <c r="A322" s="59" t="s">
        <v>728</v>
      </c>
      <c r="B322" s="282" t="s">
        <v>423</v>
      </c>
      <c r="C322" s="33"/>
      <c r="D322" s="33"/>
      <c r="E322" s="33"/>
      <c r="F322" s="33"/>
      <c r="G322" s="11">
        <v>68</v>
      </c>
      <c r="H322" s="57">
        <v>43831</v>
      </c>
      <c r="I322" s="49">
        <v>7295070</v>
      </c>
      <c r="J322" s="53">
        <v>1446.95</v>
      </c>
      <c r="K322" s="53">
        <v>99839.55</v>
      </c>
      <c r="L322" s="50">
        <v>44127</v>
      </c>
      <c r="M322" s="278">
        <v>30</v>
      </c>
      <c r="N322" s="57">
        <f>L322+M322</f>
        <v>44157</v>
      </c>
      <c r="O322" s="49"/>
      <c r="P322" s="49"/>
      <c r="Q322" s="278" t="s">
        <v>424</v>
      </c>
      <c r="R322" s="278">
        <v>7487734</v>
      </c>
      <c r="S322" s="49"/>
      <c r="T322" s="49"/>
      <c r="U322" s="49"/>
      <c r="V322" s="49"/>
      <c r="W322" s="49"/>
      <c r="X322" s="49"/>
      <c r="Y322" s="49"/>
      <c r="Z322" s="11">
        <v>168</v>
      </c>
      <c r="AA322" s="60">
        <v>8034822</v>
      </c>
      <c r="AB322" s="50">
        <v>44193</v>
      </c>
      <c r="AC322" s="156">
        <v>24455.99</v>
      </c>
      <c r="AD322" s="49" t="s">
        <v>425</v>
      </c>
      <c r="AE322" s="56">
        <v>7481148</v>
      </c>
      <c r="AF322" s="57">
        <v>44148</v>
      </c>
      <c r="AG322" s="152">
        <v>99839.55</v>
      </c>
      <c r="AH322" s="35" t="s">
        <v>426</v>
      </c>
      <c r="AI322" s="49">
        <v>8537197</v>
      </c>
      <c r="AJ322" s="57">
        <v>44245</v>
      </c>
      <c r="AK322" s="156">
        <v>24455.99</v>
      </c>
      <c r="AL322" s="49"/>
      <c r="AM322" s="36" t="s">
        <v>319</v>
      </c>
    </row>
    <row r="323" spans="1:39" ht="15.75" customHeight="1" x14ac:dyDescent="0.25">
      <c r="A323" s="59" t="s">
        <v>728</v>
      </c>
      <c r="B323" s="283"/>
      <c r="C323" s="7"/>
      <c r="D323" s="7"/>
      <c r="E323" s="7"/>
      <c r="F323" s="7"/>
      <c r="G323" s="26">
        <v>69</v>
      </c>
      <c r="H323" s="59">
        <v>43831</v>
      </c>
      <c r="I323" s="58">
        <v>7305852</v>
      </c>
      <c r="J323" s="39">
        <v>1750</v>
      </c>
      <c r="K323" s="39">
        <v>35000</v>
      </c>
      <c r="L323" s="38">
        <v>44127</v>
      </c>
      <c r="M323" s="271"/>
      <c r="N323" s="59">
        <f>L323+M323</f>
        <v>44127</v>
      </c>
      <c r="Q323" s="271"/>
      <c r="R323" s="271"/>
      <c r="S323" s="58">
        <v>8532666</v>
      </c>
      <c r="T323" s="59">
        <v>44237</v>
      </c>
      <c r="Z323" s="26">
        <v>167</v>
      </c>
      <c r="AA323" s="62">
        <v>8133354</v>
      </c>
      <c r="AB323" s="38">
        <v>44186</v>
      </c>
      <c r="AC323" s="157">
        <v>21956.46</v>
      </c>
      <c r="AD323" s="58" t="s">
        <v>427</v>
      </c>
      <c r="AE323" s="42">
        <v>7481194</v>
      </c>
      <c r="AF323" s="59">
        <v>44148</v>
      </c>
      <c r="AG323" s="155">
        <v>35000</v>
      </c>
      <c r="AH323" s="169" t="s">
        <v>428</v>
      </c>
      <c r="AI323" s="58">
        <v>8537238</v>
      </c>
      <c r="AJ323" s="59">
        <v>44244</v>
      </c>
      <c r="AK323" s="157">
        <v>21956.46</v>
      </c>
      <c r="AM323" s="40" t="s">
        <v>319</v>
      </c>
    </row>
    <row r="324" spans="1:39" ht="15.75" customHeight="1" x14ac:dyDescent="0.25">
      <c r="A324" s="59" t="s">
        <v>728</v>
      </c>
      <c r="B324" s="283"/>
      <c r="C324" s="7"/>
      <c r="D324" s="7"/>
      <c r="E324" s="7"/>
      <c r="F324" s="7"/>
      <c r="G324" s="292">
        <v>70</v>
      </c>
      <c r="H324" s="304">
        <v>43831</v>
      </c>
      <c r="I324" s="305">
        <v>7306390</v>
      </c>
      <c r="J324" s="39">
        <v>475.28</v>
      </c>
      <c r="K324" s="273">
        <v>68440.320000000007</v>
      </c>
      <c r="L324" s="274">
        <v>44127</v>
      </c>
      <c r="M324" s="271"/>
      <c r="N324" s="59">
        <f>L324+M324</f>
        <v>44127</v>
      </c>
      <c r="Q324" s="271"/>
      <c r="R324" s="271"/>
      <c r="S324" s="58">
        <v>8034841</v>
      </c>
      <c r="T324" s="59">
        <v>44195</v>
      </c>
      <c r="U324" s="58">
        <v>8034851</v>
      </c>
      <c r="V324" s="59">
        <v>44195</v>
      </c>
      <c r="Z324" s="26">
        <v>196</v>
      </c>
      <c r="AA324" s="62">
        <v>8532654</v>
      </c>
      <c r="AB324" s="38">
        <v>44214</v>
      </c>
      <c r="AC324" s="157">
        <v>27659.82</v>
      </c>
      <c r="AD324" s="58" t="s">
        <v>429</v>
      </c>
      <c r="AE324" s="42">
        <v>7482203</v>
      </c>
      <c r="AF324" s="59">
        <v>44148</v>
      </c>
      <c r="AG324" s="155">
        <v>95430.32</v>
      </c>
      <c r="AH324" s="169" t="s">
        <v>430</v>
      </c>
      <c r="AI324" s="58">
        <v>8950009</v>
      </c>
      <c r="AJ324" s="59">
        <v>44259</v>
      </c>
      <c r="AK324" s="157">
        <v>3326.96</v>
      </c>
      <c r="AM324" s="40" t="s">
        <v>319</v>
      </c>
    </row>
    <row r="325" spans="1:39" ht="15.75" customHeight="1" x14ac:dyDescent="0.25">
      <c r="A325" s="59" t="s">
        <v>728</v>
      </c>
      <c r="B325" s="283"/>
      <c r="C325" s="7"/>
      <c r="D325" s="7"/>
      <c r="E325" s="7"/>
      <c r="F325" s="7"/>
      <c r="G325" s="286"/>
      <c r="H325" s="271"/>
      <c r="I325" s="271"/>
      <c r="J325" s="39">
        <v>674.75</v>
      </c>
      <c r="K325" s="271"/>
      <c r="L325" s="271"/>
      <c r="S325" s="58">
        <v>8133293</v>
      </c>
      <c r="T325" s="59">
        <v>44208</v>
      </c>
      <c r="U325" s="58">
        <v>8367130</v>
      </c>
      <c r="V325" s="59">
        <v>44211</v>
      </c>
      <c r="Z325" s="26">
        <v>204</v>
      </c>
      <c r="AA325" s="62">
        <v>8532705</v>
      </c>
      <c r="AB325" s="38">
        <v>44221</v>
      </c>
      <c r="AC325" s="157">
        <v>18031.09</v>
      </c>
      <c r="AE325" s="42"/>
      <c r="AG325" s="155"/>
      <c r="AH325" s="169" t="s">
        <v>431</v>
      </c>
      <c r="AI325" s="58">
        <v>8950009</v>
      </c>
      <c r="AJ325" s="59">
        <v>44259</v>
      </c>
      <c r="AK325" s="157">
        <v>27659.82</v>
      </c>
      <c r="AM325" s="40" t="s">
        <v>319</v>
      </c>
    </row>
    <row r="326" spans="1:39" ht="15.75" customHeight="1" x14ac:dyDescent="0.25">
      <c r="A326" s="59" t="s">
        <v>728</v>
      </c>
      <c r="B326" s="283"/>
      <c r="C326" s="7"/>
      <c r="D326" s="7"/>
      <c r="E326" s="7"/>
      <c r="F326" s="7"/>
      <c r="G326" s="26"/>
      <c r="H326" s="59"/>
      <c r="J326" s="39"/>
      <c r="K326" s="39"/>
      <c r="Z326" s="26">
        <v>189</v>
      </c>
      <c r="AA326" s="62">
        <v>8532782</v>
      </c>
      <c r="AB326" s="38">
        <v>44207</v>
      </c>
      <c r="AC326" s="157">
        <v>3326.96</v>
      </c>
      <c r="AE326" s="42"/>
      <c r="AG326" s="155"/>
      <c r="AH326" s="169" t="s">
        <v>432</v>
      </c>
      <c r="AI326" s="58">
        <v>8950009</v>
      </c>
      <c r="AJ326" s="59">
        <v>44259</v>
      </c>
      <c r="AK326" s="157">
        <v>18031.09</v>
      </c>
      <c r="AM326" s="40" t="s">
        <v>319</v>
      </c>
    </row>
    <row r="327" spans="1:39" ht="15.75" customHeight="1" x14ac:dyDescent="0.25">
      <c r="A327" s="59" t="s">
        <v>728</v>
      </c>
      <c r="B327" s="283"/>
      <c r="C327" s="7"/>
      <c r="D327" s="7"/>
      <c r="E327" s="7"/>
      <c r="F327" s="7"/>
      <c r="G327" s="26"/>
      <c r="H327" s="59"/>
      <c r="J327" s="39"/>
      <c r="K327" s="39"/>
      <c r="Z327" s="26">
        <v>2287</v>
      </c>
      <c r="AA327" s="62">
        <v>9168357</v>
      </c>
      <c r="AB327" s="38">
        <v>44273</v>
      </c>
      <c r="AC327" s="157">
        <v>35000</v>
      </c>
      <c r="AE327" s="42"/>
      <c r="AG327" s="155"/>
      <c r="AH327" s="169" t="s">
        <v>433</v>
      </c>
      <c r="AI327" s="58">
        <v>9993398</v>
      </c>
      <c r="AJ327" s="59">
        <v>44312</v>
      </c>
      <c r="AK327" s="157">
        <v>35000</v>
      </c>
      <c r="AM327" s="40" t="s">
        <v>319</v>
      </c>
    </row>
    <row r="328" spans="1:39" ht="15.75" customHeight="1" x14ac:dyDescent="0.25">
      <c r="A328" s="59" t="s">
        <v>728</v>
      </c>
      <c r="B328" s="284"/>
      <c r="C328" s="43"/>
      <c r="D328" s="43"/>
      <c r="E328" s="43"/>
      <c r="F328" s="43"/>
      <c r="G328" s="14"/>
      <c r="H328" s="75"/>
      <c r="I328" s="44"/>
      <c r="J328" s="45"/>
      <c r="K328" s="45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121"/>
      <c r="AB328" s="47"/>
      <c r="AC328" s="158"/>
      <c r="AD328" s="44"/>
      <c r="AE328" s="46"/>
      <c r="AF328" s="44"/>
      <c r="AG328" s="153"/>
      <c r="AH328" s="55" t="s">
        <v>434</v>
      </c>
      <c r="AI328" s="44">
        <v>10532342</v>
      </c>
      <c r="AJ328" s="75">
        <v>44378</v>
      </c>
      <c r="AK328" s="158">
        <v>99839.55</v>
      </c>
      <c r="AL328" s="44"/>
      <c r="AM328" s="48" t="s">
        <v>319</v>
      </c>
    </row>
    <row r="329" spans="1:39" ht="15.75" customHeight="1" x14ac:dyDescent="0.25">
      <c r="A329" s="59" t="s">
        <v>728</v>
      </c>
      <c r="B329" s="282" t="s">
        <v>435</v>
      </c>
      <c r="C329" s="33"/>
      <c r="D329" s="33"/>
      <c r="E329" s="33"/>
      <c r="F329" s="33"/>
      <c r="G329" s="11">
        <v>24</v>
      </c>
      <c r="H329" s="57">
        <v>43831</v>
      </c>
      <c r="I329" s="49">
        <v>5483391</v>
      </c>
      <c r="J329" s="53">
        <v>85710</v>
      </c>
      <c r="K329" s="272">
        <v>121116</v>
      </c>
      <c r="L329" s="280">
        <v>43955</v>
      </c>
      <c r="M329" s="278">
        <v>30</v>
      </c>
      <c r="N329" s="280">
        <f>L329+M329</f>
        <v>43985</v>
      </c>
      <c r="O329" s="278" t="s">
        <v>215</v>
      </c>
      <c r="P329" s="278">
        <v>5523212</v>
      </c>
      <c r="Q329" s="278" t="s">
        <v>215</v>
      </c>
      <c r="R329" s="278">
        <v>5523212</v>
      </c>
      <c r="S329" s="49">
        <v>5530060</v>
      </c>
      <c r="T329" s="57">
        <v>43962</v>
      </c>
      <c r="U329" s="49">
        <v>5682762</v>
      </c>
      <c r="V329" s="57">
        <v>43973</v>
      </c>
      <c r="W329" s="49"/>
      <c r="X329" s="49"/>
      <c r="Y329" s="49"/>
      <c r="Z329" s="11">
        <v>355</v>
      </c>
      <c r="AA329" s="122">
        <v>5692073</v>
      </c>
      <c r="AB329" s="50">
        <v>43961</v>
      </c>
      <c r="AC329" s="156">
        <v>114144</v>
      </c>
      <c r="AD329" s="49" t="s">
        <v>436</v>
      </c>
      <c r="AE329" s="56">
        <v>5457019</v>
      </c>
      <c r="AF329" s="57">
        <v>43955</v>
      </c>
      <c r="AG329" s="152">
        <v>95846.07</v>
      </c>
      <c r="AH329" s="35" t="s">
        <v>437</v>
      </c>
      <c r="AI329" s="49">
        <v>5745794</v>
      </c>
      <c r="AJ329" s="57">
        <v>43980</v>
      </c>
      <c r="AK329" s="156">
        <v>117714</v>
      </c>
      <c r="AL329" s="49"/>
      <c r="AM329" s="36" t="s">
        <v>319</v>
      </c>
    </row>
    <row r="330" spans="1:39" ht="15.75" customHeight="1" x14ac:dyDescent="0.25">
      <c r="A330" s="59" t="s">
        <v>728</v>
      </c>
      <c r="B330" s="283"/>
      <c r="C330" s="7"/>
      <c r="D330" s="7"/>
      <c r="E330" s="7"/>
      <c r="F330" s="7"/>
      <c r="G330" s="26"/>
      <c r="H330" s="59"/>
      <c r="J330" s="39">
        <v>3402</v>
      </c>
      <c r="K330" s="271"/>
      <c r="L330" s="271"/>
      <c r="M330" s="271"/>
      <c r="N330" s="271"/>
      <c r="O330" s="271"/>
      <c r="P330" s="271"/>
      <c r="Q330" s="271"/>
      <c r="R330" s="271"/>
      <c r="S330" s="58">
        <v>5671453</v>
      </c>
      <c r="T330" s="59">
        <v>43976</v>
      </c>
      <c r="U330" s="58">
        <v>5682777</v>
      </c>
      <c r="V330" s="59">
        <v>43976</v>
      </c>
      <c r="Z330" s="26">
        <v>357</v>
      </c>
      <c r="AA330" s="64">
        <v>5692073</v>
      </c>
      <c r="AB330" s="38">
        <v>43972</v>
      </c>
      <c r="AC330" s="157">
        <v>3570</v>
      </c>
      <c r="AD330" s="58" t="s">
        <v>438</v>
      </c>
      <c r="AE330" s="42">
        <v>5457075</v>
      </c>
      <c r="AF330" s="59">
        <v>43955</v>
      </c>
      <c r="AG330" s="155">
        <v>25269.93</v>
      </c>
      <c r="AJ330" s="123"/>
      <c r="AK330" s="157"/>
      <c r="AM330" s="40"/>
    </row>
    <row r="331" spans="1:39" ht="15.75" customHeight="1" x14ac:dyDescent="0.25">
      <c r="A331" s="59" t="s">
        <v>728</v>
      </c>
      <c r="B331" s="283"/>
      <c r="C331" s="7"/>
      <c r="D331" s="7"/>
      <c r="E331" s="7"/>
      <c r="F331" s="7"/>
      <c r="G331" s="26"/>
      <c r="H331" s="59"/>
      <c r="J331" s="39">
        <v>23520</v>
      </c>
      <c r="K331" s="271"/>
      <c r="L331" s="271"/>
      <c r="M331" s="271"/>
      <c r="N331" s="271"/>
      <c r="O331" s="271"/>
      <c r="P331" s="271"/>
      <c r="Q331" s="271"/>
      <c r="R331" s="271"/>
      <c r="S331" s="58">
        <v>6125188</v>
      </c>
      <c r="T331" s="59">
        <v>44004</v>
      </c>
      <c r="U331" s="58">
        <v>6226329</v>
      </c>
      <c r="V331" s="59">
        <v>44006</v>
      </c>
      <c r="W331" s="58">
        <v>6263312</v>
      </c>
      <c r="X331" s="58" t="s">
        <v>439</v>
      </c>
      <c r="Z331" s="26">
        <v>372</v>
      </c>
      <c r="AA331" s="64">
        <v>6124085</v>
      </c>
      <c r="AB331" s="38">
        <v>44000</v>
      </c>
      <c r="AC331" s="157">
        <v>3402</v>
      </c>
      <c r="AE331" s="42"/>
      <c r="AG331" s="155"/>
      <c r="AH331" s="169" t="s">
        <v>440</v>
      </c>
      <c r="AI331" s="58">
        <v>6322377</v>
      </c>
      <c r="AJ331" s="59">
        <v>44034</v>
      </c>
      <c r="AK331" s="157">
        <v>3402</v>
      </c>
      <c r="AM331" s="40" t="s">
        <v>319</v>
      </c>
    </row>
    <row r="332" spans="1:39" ht="15.75" customHeight="1" x14ac:dyDescent="0.25">
      <c r="A332" s="59" t="s">
        <v>728</v>
      </c>
      <c r="B332" s="283"/>
      <c r="C332" s="7"/>
      <c r="D332" s="7"/>
      <c r="E332" s="7"/>
      <c r="F332" s="7"/>
      <c r="G332" s="26"/>
      <c r="H332" s="59"/>
      <c r="J332" s="39">
        <v>3570</v>
      </c>
      <c r="K332" s="271"/>
      <c r="L332" s="271"/>
      <c r="M332" s="271"/>
      <c r="N332" s="271"/>
      <c r="O332" s="271"/>
      <c r="P332" s="271"/>
      <c r="Q332" s="271"/>
      <c r="R332" s="271"/>
      <c r="AA332" s="64"/>
      <c r="AC332" s="157"/>
      <c r="AE332" s="42"/>
      <c r="AG332" s="155"/>
      <c r="AJ332" s="123"/>
      <c r="AK332" s="157"/>
      <c r="AM332" s="40"/>
    </row>
    <row r="333" spans="1:39" ht="15.75" customHeight="1" x14ac:dyDescent="0.25">
      <c r="A333" s="59" t="s">
        <v>728</v>
      </c>
      <c r="B333" s="283"/>
      <c r="C333" s="7"/>
      <c r="D333" s="7"/>
      <c r="E333" s="7"/>
      <c r="F333" s="7"/>
      <c r="G333" s="26"/>
      <c r="H333" s="59"/>
      <c r="J333" s="39">
        <v>1260</v>
      </c>
      <c r="K333" s="271"/>
      <c r="L333" s="271"/>
      <c r="M333" s="271"/>
      <c r="N333" s="271"/>
      <c r="O333" s="271"/>
      <c r="P333" s="271"/>
      <c r="Q333" s="271"/>
      <c r="R333" s="271"/>
      <c r="AA333" s="64"/>
      <c r="AC333" s="157"/>
      <c r="AE333" s="42"/>
      <c r="AG333" s="155"/>
      <c r="AJ333" s="123"/>
      <c r="AK333" s="157"/>
      <c r="AM333" s="40"/>
    </row>
    <row r="334" spans="1:39" ht="15.75" customHeight="1" x14ac:dyDescent="0.25">
      <c r="A334" s="59" t="s">
        <v>728</v>
      </c>
      <c r="B334" s="284"/>
      <c r="C334" s="43"/>
      <c r="D334" s="43"/>
      <c r="E334" s="43"/>
      <c r="F334" s="43"/>
      <c r="G334" s="14"/>
      <c r="H334" s="75"/>
      <c r="I334" s="44"/>
      <c r="J334" s="45">
        <v>3654</v>
      </c>
      <c r="K334" s="279"/>
      <c r="L334" s="279"/>
      <c r="M334" s="279"/>
      <c r="N334" s="279"/>
      <c r="O334" s="279"/>
      <c r="P334" s="279"/>
      <c r="Q334" s="279"/>
      <c r="R334" s="279"/>
      <c r="S334" s="44"/>
      <c r="T334" s="44"/>
      <c r="U334" s="44"/>
      <c r="V334" s="44"/>
      <c r="W334" s="44"/>
      <c r="X334" s="44"/>
      <c r="Y334" s="44"/>
      <c r="Z334" s="44"/>
      <c r="AA334" s="121"/>
      <c r="AB334" s="47"/>
      <c r="AC334" s="158"/>
      <c r="AD334" s="44"/>
      <c r="AE334" s="46"/>
      <c r="AF334" s="44"/>
      <c r="AG334" s="153"/>
      <c r="AH334" s="55"/>
      <c r="AI334" s="44"/>
      <c r="AJ334" s="75"/>
      <c r="AK334" s="158"/>
      <c r="AL334" s="44"/>
      <c r="AM334" s="48"/>
    </row>
    <row r="335" spans="1:39" ht="15.75" customHeight="1" x14ac:dyDescent="0.25">
      <c r="A335" s="59" t="s">
        <v>728</v>
      </c>
      <c r="B335" s="282" t="s">
        <v>441</v>
      </c>
      <c r="C335" s="33"/>
      <c r="D335" s="33"/>
      <c r="E335" s="33"/>
      <c r="F335" s="33"/>
      <c r="G335" s="11">
        <v>4</v>
      </c>
      <c r="H335" s="57">
        <v>44197</v>
      </c>
      <c r="I335" s="49">
        <v>8741347</v>
      </c>
      <c r="J335" s="53">
        <v>2500</v>
      </c>
      <c r="K335" s="53">
        <v>2500</v>
      </c>
      <c r="L335" s="57">
        <v>44252</v>
      </c>
      <c r="M335" s="278">
        <v>30</v>
      </c>
      <c r="N335" s="57">
        <f t="shared" ref="N335:N340" si="2">L335+M335</f>
        <v>44282</v>
      </c>
      <c r="O335" s="278" t="s">
        <v>442</v>
      </c>
      <c r="P335" s="278">
        <v>9093778</v>
      </c>
      <c r="Q335" s="278" t="s">
        <v>442</v>
      </c>
      <c r="R335" s="278">
        <v>9093778</v>
      </c>
      <c r="S335" s="49">
        <v>9217453</v>
      </c>
      <c r="T335" s="57">
        <v>44291</v>
      </c>
      <c r="U335" s="49">
        <v>9217852</v>
      </c>
      <c r="V335" s="57">
        <v>44291</v>
      </c>
      <c r="W335" s="49">
        <v>9218037</v>
      </c>
      <c r="X335" s="49" t="s">
        <v>443</v>
      </c>
      <c r="Y335" s="49"/>
      <c r="Z335" s="49">
        <v>1328</v>
      </c>
      <c r="AA335" s="122">
        <v>9217341</v>
      </c>
      <c r="AB335" s="50">
        <v>44279</v>
      </c>
      <c r="AC335" s="156">
        <v>1087</v>
      </c>
      <c r="AD335" s="49" t="s">
        <v>444</v>
      </c>
      <c r="AE335" s="56">
        <v>8582284</v>
      </c>
      <c r="AF335" s="57">
        <v>44250</v>
      </c>
      <c r="AG335" s="152">
        <v>2500</v>
      </c>
      <c r="AH335" s="35" t="s">
        <v>445</v>
      </c>
      <c r="AI335" s="49">
        <v>10765043</v>
      </c>
      <c r="AJ335" s="57">
        <v>44399</v>
      </c>
      <c r="AK335" s="156">
        <v>1087</v>
      </c>
      <c r="AL335" s="49"/>
      <c r="AM335" s="36" t="s">
        <v>319</v>
      </c>
    </row>
    <row r="336" spans="1:39" ht="15.75" customHeight="1" x14ac:dyDescent="0.25">
      <c r="A336" s="59" t="s">
        <v>728</v>
      </c>
      <c r="B336" s="283"/>
      <c r="C336" s="7"/>
      <c r="D336" s="7"/>
      <c r="E336" s="7"/>
      <c r="F336" s="7"/>
      <c r="G336" s="26">
        <v>5</v>
      </c>
      <c r="H336" s="59">
        <v>44197</v>
      </c>
      <c r="I336" s="58">
        <v>8742739</v>
      </c>
      <c r="J336" s="39">
        <v>1087</v>
      </c>
      <c r="K336" s="39">
        <v>1087</v>
      </c>
      <c r="L336" s="59">
        <v>44252</v>
      </c>
      <c r="M336" s="271"/>
      <c r="N336" s="59">
        <f t="shared" si="2"/>
        <v>44252</v>
      </c>
      <c r="O336" s="271"/>
      <c r="P336" s="271"/>
      <c r="Q336" s="271"/>
      <c r="R336" s="271"/>
      <c r="S336" s="58">
        <v>9218680</v>
      </c>
      <c r="T336" s="59">
        <v>44291</v>
      </c>
      <c r="U336" s="58">
        <v>9218798</v>
      </c>
      <c r="V336" s="59">
        <v>44291</v>
      </c>
      <c r="W336" s="58">
        <v>9218876</v>
      </c>
      <c r="X336" s="58" t="s">
        <v>446</v>
      </c>
      <c r="Z336" s="58">
        <v>359</v>
      </c>
      <c r="AA336" s="64">
        <v>9218620</v>
      </c>
      <c r="AB336" s="38">
        <v>44280</v>
      </c>
      <c r="AC336" s="157">
        <v>56490</v>
      </c>
      <c r="AD336" s="58" t="s">
        <v>447</v>
      </c>
      <c r="AE336" s="42">
        <v>8582306</v>
      </c>
      <c r="AF336" s="59">
        <v>44250</v>
      </c>
      <c r="AG336" s="155">
        <v>1087</v>
      </c>
      <c r="AH336" s="169" t="s">
        <v>448</v>
      </c>
      <c r="AI336" s="58">
        <v>10837316</v>
      </c>
      <c r="AJ336" s="59">
        <v>44426</v>
      </c>
      <c r="AK336" s="157">
        <v>56490</v>
      </c>
      <c r="AM336" s="40" t="s">
        <v>319</v>
      </c>
    </row>
    <row r="337" spans="1:39" ht="15.75" customHeight="1" x14ac:dyDescent="0.25">
      <c r="A337" s="59" t="s">
        <v>728</v>
      </c>
      <c r="B337" s="283"/>
      <c r="C337" s="7"/>
      <c r="D337" s="7"/>
      <c r="E337" s="7"/>
      <c r="F337" s="7"/>
      <c r="G337" s="26">
        <v>6</v>
      </c>
      <c r="H337" s="59">
        <v>44197</v>
      </c>
      <c r="I337" s="58">
        <v>8822586</v>
      </c>
      <c r="J337" s="39">
        <v>424</v>
      </c>
      <c r="K337" s="39">
        <v>424</v>
      </c>
      <c r="L337" s="59">
        <v>44265</v>
      </c>
      <c r="M337" s="271"/>
      <c r="N337" s="59">
        <f t="shared" si="2"/>
        <v>44265</v>
      </c>
      <c r="O337" s="271"/>
      <c r="P337" s="271"/>
      <c r="Q337" s="271"/>
      <c r="R337" s="271"/>
      <c r="S337" s="58">
        <v>9925677</v>
      </c>
      <c r="T337" s="59">
        <v>44358</v>
      </c>
      <c r="U337" s="58">
        <v>9925929</v>
      </c>
      <c r="V337" s="59">
        <v>44358</v>
      </c>
      <c r="W337" s="58">
        <v>9929050</v>
      </c>
      <c r="X337" s="58" t="s">
        <v>449</v>
      </c>
      <c r="Z337" s="58">
        <v>50</v>
      </c>
      <c r="AA337" s="64">
        <v>9925150</v>
      </c>
      <c r="AB337" s="38">
        <v>44284</v>
      </c>
      <c r="AC337" s="157">
        <v>1336</v>
      </c>
      <c r="AD337" s="58" t="s">
        <v>450</v>
      </c>
      <c r="AE337" s="42">
        <v>8582337</v>
      </c>
      <c r="AF337" s="59">
        <v>44250</v>
      </c>
      <c r="AG337" s="155">
        <v>424</v>
      </c>
      <c r="AH337" s="169" t="s">
        <v>451</v>
      </c>
      <c r="AI337" s="58">
        <v>10837450</v>
      </c>
      <c r="AJ337" s="59">
        <v>44426</v>
      </c>
      <c r="AK337" s="157">
        <v>424</v>
      </c>
      <c r="AM337" s="40" t="s">
        <v>319</v>
      </c>
    </row>
    <row r="338" spans="1:39" ht="15.75" customHeight="1" x14ac:dyDescent="0.25">
      <c r="A338" s="59" t="s">
        <v>728</v>
      </c>
      <c r="B338" s="283"/>
      <c r="C338" s="7"/>
      <c r="D338" s="7"/>
      <c r="E338" s="7"/>
      <c r="F338" s="7"/>
      <c r="G338" s="26">
        <v>7</v>
      </c>
      <c r="H338" s="59">
        <v>44197</v>
      </c>
      <c r="I338" s="58">
        <v>8741396</v>
      </c>
      <c r="J338" s="39">
        <v>1336</v>
      </c>
      <c r="K338" s="39">
        <v>1336</v>
      </c>
      <c r="L338" s="59">
        <v>44252</v>
      </c>
      <c r="M338" s="271"/>
      <c r="N338" s="59">
        <f t="shared" si="2"/>
        <v>44252</v>
      </c>
      <c r="O338" s="271"/>
      <c r="P338" s="271"/>
      <c r="Q338" s="271"/>
      <c r="R338" s="271"/>
      <c r="S338" s="58">
        <v>9930882</v>
      </c>
      <c r="T338" s="59">
        <v>44358</v>
      </c>
      <c r="U338" s="58">
        <v>9931018</v>
      </c>
      <c r="V338" s="59">
        <v>44358</v>
      </c>
      <c r="W338" s="58">
        <v>9931172</v>
      </c>
      <c r="X338" s="78" t="s">
        <v>452</v>
      </c>
      <c r="Z338" s="58">
        <v>1223</v>
      </c>
      <c r="AA338" s="64">
        <v>9929820</v>
      </c>
      <c r="AB338" s="38">
        <v>44278</v>
      </c>
      <c r="AC338" s="157">
        <v>2500</v>
      </c>
      <c r="AD338" s="58" t="s">
        <v>453</v>
      </c>
      <c r="AE338" s="42">
        <v>8582359</v>
      </c>
      <c r="AF338" s="59">
        <v>44250</v>
      </c>
      <c r="AG338" s="155">
        <v>1336</v>
      </c>
      <c r="AH338" s="169" t="s">
        <v>454</v>
      </c>
      <c r="AI338" s="58">
        <v>10837505</v>
      </c>
      <c r="AJ338" s="59">
        <v>44426</v>
      </c>
      <c r="AK338" s="157">
        <v>1336</v>
      </c>
      <c r="AM338" s="40" t="s">
        <v>319</v>
      </c>
    </row>
    <row r="339" spans="1:39" ht="15.75" customHeight="1" x14ac:dyDescent="0.25">
      <c r="A339" s="59" t="s">
        <v>728</v>
      </c>
      <c r="B339" s="284"/>
      <c r="C339" s="43"/>
      <c r="D339" s="43"/>
      <c r="E339" s="43"/>
      <c r="F339" s="43"/>
      <c r="G339" s="14">
        <v>8</v>
      </c>
      <c r="H339" s="75">
        <v>44197</v>
      </c>
      <c r="I339" s="44">
        <v>8741441</v>
      </c>
      <c r="J339" s="45">
        <v>56490</v>
      </c>
      <c r="K339" s="45">
        <v>56490</v>
      </c>
      <c r="L339" s="75">
        <v>44252</v>
      </c>
      <c r="M339" s="279"/>
      <c r="N339" s="75">
        <f t="shared" si="2"/>
        <v>44252</v>
      </c>
      <c r="O339" s="279"/>
      <c r="P339" s="279"/>
      <c r="Q339" s="279"/>
      <c r="R339" s="279"/>
      <c r="S339" s="44">
        <v>9955631</v>
      </c>
      <c r="T339" s="75">
        <v>44361</v>
      </c>
      <c r="U339" s="44">
        <v>9955730</v>
      </c>
      <c r="V339" s="75">
        <v>44361</v>
      </c>
      <c r="W339" s="44">
        <v>9955988</v>
      </c>
      <c r="X339" s="44" t="s">
        <v>455</v>
      </c>
      <c r="Y339" s="44"/>
      <c r="Z339" s="44">
        <v>18407</v>
      </c>
      <c r="AA339" s="121">
        <v>9955281</v>
      </c>
      <c r="AB339" s="47">
        <v>44330</v>
      </c>
      <c r="AC339" s="158">
        <v>424</v>
      </c>
      <c r="AD339" s="44" t="s">
        <v>456</v>
      </c>
      <c r="AE339" s="46">
        <v>8582389</v>
      </c>
      <c r="AF339" s="75">
        <v>44250</v>
      </c>
      <c r="AG339" s="153">
        <v>56490</v>
      </c>
      <c r="AH339" s="55" t="s">
        <v>457</v>
      </c>
      <c r="AI339" s="44">
        <v>10837544</v>
      </c>
      <c r="AJ339" s="75">
        <v>44426</v>
      </c>
      <c r="AK339" s="158">
        <v>2500</v>
      </c>
      <c r="AL339" s="44"/>
      <c r="AM339" s="48" t="s">
        <v>319</v>
      </c>
    </row>
    <row r="340" spans="1:39" ht="15.75" customHeight="1" x14ac:dyDescent="0.25">
      <c r="A340" s="59" t="s">
        <v>728</v>
      </c>
      <c r="B340" s="19" t="s">
        <v>458</v>
      </c>
      <c r="C340" s="67"/>
      <c r="D340" s="67"/>
      <c r="E340" s="67"/>
      <c r="F340" s="67"/>
      <c r="G340" s="21">
        <v>1</v>
      </c>
      <c r="H340" s="69">
        <v>44562</v>
      </c>
      <c r="I340" s="70">
        <v>13255473</v>
      </c>
      <c r="J340" s="68">
        <v>493.19</v>
      </c>
      <c r="K340" s="68">
        <v>493.19</v>
      </c>
      <c r="L340" s="69">
        <v>44617</v>
      </c>
      <c r="M340" s="70">
        <v>30</v>
      </c>
      <c r="N340" s="69">
        <f t="shared" si="2"/>
        <v>44647</v>
      </c>
      <c r="O340" s="91" t="s">
        <v>215</v>
      </c>
      <c r="P340" s="21">
        <v>13355843</v>
      </c>
      <c r="Q340" s="91" t="s">
        <v>215</v>
      </c>
      <c r="R340" s="21">
        <v>13355843</v>
      </c>
      <c r="S340" s="70">
        <v>15500127</v>
      </c>
      <c r="T340" s="69">
        <v>44770</v>
      </c>
      <c r="U340" s="70">
        <v>15500359</v>
      </c>
      <c r="V340" s="69">
        <v>44770</v>
      </c>
      <c r="W340" s="70">
        <v>15659416</v>
      </c>
      <c r="X340" s="92" t="s">
        <v>459</v>
      </c>
      <c r="Y340" s="70"/>
      <c r="Z340" s="70">
        <v>476</v>
      </c>
      <c r="AA340" s="124">
        <v>15248116</v>
      </c>
      <c r="AB340" s="73">
        <v>44741</v>
      </c>
      <c r="AC340" s="162">
        <v>493.19</v>
      </c>
      <c r="AD340" s="70" t="s">
        <v>460</v>
      </c>
      <c r="AE340" s="71">
        <v>14207379</v>
      </c>
      <c r="AF340" s="69">
        <v>44680</v>
      </c>
      <c r="AG340" s="154">
        <v>493.19</v>
      </c>
      <c r="AH340" s="74" t="s">
        <v>461</v>
      </c>
      <c r="AI340" s="70">
        <v>16199232</v>
      </c>
      <c r="AJ340" s="69">
        <v>44795</v>
      </c>
      <c r="AK340" s="162">
        <v>493.19</v>
      </c>
      <c r="AL340" s="70"/>
      <c r="AM340" s="72" t="s">
        <v>319</v>
      </c>
    </row>
    <row r="341" spans="1:39" ht="15.75" customHeight="1" x14ac:dyDescent="0.25">
      <c r="A341" s="59" t="s">
        <v>728</v>
      </c>
      <c r="B341" s="19" t="s">
        <v>462</v>
      </c>
      <c r="C341" s="67"/>
      <c r="D341" s="67"/>
      <c r="E341" s="67"/>
      <c r="F341" s="67" t="s">
        <v>415</v>
      </c>
      <c r="G341" s="21"/>
      <c r="H341" s="69"/>
      <c r="I341" s="70"/>
      <c r="J341" s="68"/>
      <c r="K341" s="68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124"/>
      <c r="AB341" s="73"/>
      <c r="AC341" s="162"/>
      <c r="AD341" s="70"/>
      <c r="AE341" s="71"/>
      <c r="AF341" s="70"/>
      <c r="AG341" s="154"/>
      <c r="AH341" s="74"/>
      <c r="AI341" s="70"/>
      <c r="AJ341" s="69"/>
      <c r="AK341" s="162"/>
      <c r="AL341" s="70"/>
      <c r="AM341" s="72"/>
    </row>
    <row r="342" spans="1:39" ht="15.75" customHeight="1" x14ac:dyDescent="0.25">
      <c r="A342" s="59" t="s">
        <v>728</v>
      </c>
      <c r="B342" s="19" t="s">
        <v>463</v>
      </c>
      <c r="C342" s="67"/>
      <c r="D342" s="67"/>
      <c r="E342" s="67"/>
      <c r="F342" s="67"/>
      <c r="G342" s="21">
        <v>5</v>
      </c>
      <c r="H342" s="69">
        <v>44927</v>
      </c>
      <c r="I342" s="70">
        <v>18501554</v>
      </c>
      <c r="J342" s="68">
        <v>10450</v>
      </c>
      <c r="K342" s="68">
        <v>20900</v>
      </c>
      <c r="L342" s="69">
        <v>44964</v>
      </c>
      <c r="M342" s="70">
        <v>30</v>
      </c>
      <c r="N342" s="69">
        <f>L342+M342</f>
        <v>44994</v>
      </c>
      <c r="O342" s="91" t="s">
        <v>215</v>
      </c>
      <c r="P342" s="70">
        <v>18577918</v>
      </c>
      <c r="Q342" s="91" t="s">
        <v>215</v>
      </c>
      <c r="R342" s="70">
        <v>18577918</v>
      </c>
      <c r="S342" s="70">
        <v>18864413</v>
      </c>
      <c r="T342" s="69">
        <v>44994</v>
      </c>
      <c r="U342" s="70">
        <v>18875673</v>
      </c>
      <c r="V342" s="69">
        <v>44992</v>
      </c>
      <c r="W342" s="70">
        <v>18875832</v>
      </c>
      <c r="X342" s="92" t="s">
        <v>464</v>
      </c>
      <c r="Y342" s="70"/>
      <c r="Z342" s="70">
        <v>7754</v>
      </c>
      <c r="AA342" s="124">
        <v>18851722</v>
      </c>
      <c r="AB342" s="73">
        <v>44984</v>
      </c>
      <c r="AC342" s="162">
        <v>20900</v>
      </c>
      <c r="AD342" s="70" t="s">
        <v>465</v>
      </c>
      <c r="AE342" s="71">
        <v>19697977</v>
      </c>
      <c r="AF342" s="69">
        <v>45033</v>
      </c>
      <c r="AG342" s="154">
        <v>20900</v>
      </c>
      <c r="AH342" s="74" t="s">
        <v>466</v>
      </c>
      <c r="AI342" s="70">
        <v>20962879</v>
      </c>
      <c r="AJ342" s="69">
        <v>45050</v>
      </c>
      <c r="AK342" s="162">
        <v>20900</v>
      </c>
      <c r="AL342" s="70"/>
      <c r="AM342" s="72" t="s">
        <v>319</v>
      </c>
    </row>
    <row r="343" spans="1:39" ht="15.75" customHeight="1" x14ac:dyDescent="0.25">
      <c r="A343" s="59" t="s">
        <v>728</v>
      </c>
      <c r="B343" s="282" t="s">
        <v>467</v>
      </c>
      <c r="C343" s="33"/>
      <c r="D343" s="33"/>
      <c r="E343" s="33"/>
      <c r="F343" s="33"/>
      <c r="G343" s="11">
        <v>83</v>
      </c>
      <c r="H343" s="57">
        <v>44562</v>
      </c>
      <c r="I343" s="49">
        <v>16180074</v>
      </c>
      <c r="J343" s="53">
        <v>660</v>
      </c>
      <c r="K343" s="53">
        <v>3300</v>
      </c>
      <c r="L343" s="57">
        <v>44810</v>
      </c>
      <c r="M343" s="49">
        <v>30</v>
      </c>
      <c r="N343" s="57">
        <f>L343+M343</f>
        <v>44840</v>
      </c>
      <c r="O343" s="278" t="s">
        <v>468</v>
      </c>
      <c r="P343" s="278">
        <v>16310424</v>
      </c>
      <c r="Q343" s="278" t="s">
        <v>468</v>
      </c>
      <c r="R343" s="278">
        <v>16310424</v>
      </c>
      <c r="S343" s="49">
        <v>16596324</v>
      </c>
      <c r="T343" s="57">
        <v>44830</v>
      </c>
      <c r="U343" s="49">
        <v>16596414</v>
      </c>
      <c r="V343" s="57">
        <v>44869</v>
      </c>
      <c r="W343" s="49">
        <v>16596488</v>
      </c>
      <c r="X343" s="49" t="s">
        <v>469</v>
      </c>
      <c r="Y343" s="49"/>
      <c r="Z343" s="49">
        <v>4079</v>
      </c>
      <c r="AA343" s="122">
        <v>16595456</v>
      </c>
      <c r="AB343" s="50">
        <v>44819</v>
      </c>
      <c r="AC343" s="156">
        <v>47500</v>
      </c>
      <c r="AD343" s="49" t="s">
        <v>470</v>
      </c>
      <c r="AE343" s="56">
        <v>16070267</v>
      </c>
      <c r="AF343" s="57">
        <v>44796</v>
      </c>
      <c r="AG343" s="152">
        <v>3300</v>
      </c>
      <c r="AH343" s="35" t="s">
        <v>471</v>
      </c>
      <c r="AI343" s="49">
        <v>16687708</v>
      </c>
      <c r="AJ343" s="57">
        <v>44834</v>
      </c>
      <c r="AK343" s="156">
        <v>3300</v>
      </c>
      <c r="AL343" s="49"/>
      <c r="AM343" s="36" t="s">
        <v>319</v>
      </c>
    </row>
    <row r="344" spans="1:39" ht="15.75" customHeight="1" x14ac:dyDescent="0.25">
      <c r="A344" s="59" t="s">
        <v>728</v>
      </c>
      <c r="B344" s="283"/>
      <c r="C344" s="7"/>
      <c r="D344" s="7"/>
      <c r="E344" s="7"/>
      <c r="F344" s="7"/>
      <c r="G344" s="26">
        <v>84</v>
      </c>
      <c r="H344" s="59">
        <v>44562</v>
      </c>
      <c r="I344" s="58">
        <v>16180285</v>
      </c>
      <c r="J344" s="39">
        <v>3400</v>
      </c>
      <c r="K344" s="39">
        <v>51000</v>
      </c>
      <c r="L344" s="59">
        <v>44810</v>
      </c>
      <c r="M344" s="58">
        <v>30</v>
      </c>
      <c r="N344" s="59">
        <f>L344+M344</f>
        <v>44840</v>
      </c>
      <c r="O344" s="271"/>
      <c r="P344" s="271"/>
      <c r="Q344" s="271"/>
      <c r="R344" s="271"/>
      <c r="Z344" s="58">
        <v>1019</v>
      </c>
      <c r="AA344" s="64">
        <v>17096891</v>
      </c>
      <c r="AB344" s="38">
        <v>44825</v>
      </c>
      <c r="AC344" s="157">
        <v>10500</v>
      </c>
      <c r="AD344" s="58" t="s">
        <v>472</v>
      </c>
      <c r="AE344" s="42">
        <v>16070338</v>
      </c>
      <c r="AF344" s="59">
        <v>44796</v>
      </c>
      <c r="AG344" s="155">
        <v>10500</v>
      </c>
      <c r="AH344" s="169" t="s">
        <v>473</v>
      </c>
      <c r="AI344" s="58">
        <v>17605875</v>
      </c>
      <c r="AJ344" s="59">
        <v>44875</v>
      </c>
      <c r="AK344" s="157">
        <v>10500</v>
      </c>
      <c r="AM344" s="40" t="s">
        <v>319</v>
      </c>
    </row>
    <row r="345" spans="1:39" ht="15.75" customHeight="1" x14ac:dyDescent="0.25">
      <c r="A345" s="59" t="s">
        <v>728</v>
      </c>
      <c r="B345" s="284"/>
      <c r="C345" s="43"/>
      <c r="D345" s="43"/>
      <c r="E345" s="43"/>
      <c r="F345" s="43"/>
      <c r="G345" s="14">
        <v>85</v>
      </c>
      <c r="H345" s="75">
        <v>44562</v>
      </c>
      <c r="I345" s="44">
        <v>16183322</v>
      </c>
      <c r="J345" s="45">
        <v>2100</v>
      </c>
      <c r="K345" s="45">
        <v>10500</v>
      </c>
      <c r="L345" s="75">
        <v>44810</v>
      </c>
      <c r="M345" s="44">
        <v>30</v>
      </c>
      <c r="N345" s="75">
        <f>L345+M345</f>
        <v>44840</v>
      </c>
      <c r="O345" s="279"/>
      <c r="P345" s="279"/>
      <c r="Q345" s="279"/>
      <c r="R345" s="279"/>
      <c r="S345" s="44"/>
      <c r="T345" s="44"/>
      <c r="U345" s="44"/>
      <c r="V345" s="44"/>
      <c r="W345" s="44"/>
      <c r="X345" s="44"/>
      <c r="Y345" s="44"/>
      <c r="Z345" s="44">
        <v>1002</v>
      </c>
      <c r="AA345" s="121">
        <v>17179063</v>
      </c>
      <c r="AB345" s="47">
        <v>44855</v>
      </c>
      <c r="AC345" s="158">
        <v>51000</v>
      </c>
      <c r="AD345" s="44" t="s">
        <v>474</v>
      </c>
      <c r="AE345" s="46">
        <v>16123913</v>
      </c>
      <c r="AF345" s="75">
        <v>44798</v>
      </c>
      <c r="AG345" s="153">
        <v>51000</v>
      </c>
      <c r="AH345" s="55" t="s">
        <v>475</v>
      </c>
      <c r="AI345" s="44">
        <v>17605913</v>
      </c>
      <c r="AJ345" s="75">
        <v>44875</v>
      </c>
      <c r="AK345" s="158">
        <v>51000</v>
      </c>
      <c r="AL345" s="44"/>
      <c r="AM345" s="48" t="s">
        <v>319</v>
      </c>
    </row>
    <row r="346" spans="1:39" ht="15.75" customHeight="1" x14ac:dyDescent="0.25">
      <c r="A346" s="59" t="s">
        <v>724</v>
      </c>
      <c r="B346" s="282" t="s">
        <v>476</v>
      </c>
      <c r="C346" s="33"/>
      <c r="D346" s="33"/>
      <c r="E346" s="33"/>
      <c r="F346" s="33"/>
      <c r="G346" s="11">
        <v>8</v>
      </c>
      <c r="H346" s="57">
        <v>44197</v>
      </c>
      <c r="I346" s="49">
        <v>9070553</v>
      </c>
      <c r="J346" s="53">
        <v>228625.74</v>
      </c>
      <c r="K346" s="53">
        <v>228625.74</v>
      </c>
      <c r="L346" s="57">
        <v>44281</v>
      </c>
      <c r="M346" s="49">
        <v>365</v>
      </c>
      <c r="N346" s="57">
        <f>L346+M346</f>
        <v>44646</v>
      </c>
      <c r="O346" s="94" t="s">
        <v>477</v>
      </c>
      <c r="P346" s="49">
        <v>9094697</v>
      </c>
      <c r="Q346" s="94" t="s">
        <v>477</v>
      </c>
      <c r="R346" s="49">
        <v>9094697</v>
      </c>
      <c r="S346" s="49"/>
      <c r="T346" s="49"/>
      <c r="U346" s="49"/>
      <c r="V346" s="49"/>
      <c r="W346" s="49"/>
      <c r="X346" s="49"/>
      <c r="Y346" s="49"/>
      <c r="Z346" s="49">
        <v>834</v>
      </c>
      <c r="AA346" s="122">
        <v>10251477</v>
      </c>
      <c r="AB346" s="50">
        <v>44364</v>
      </c>
      <c r="AC346" s="156">
        <v>32929.51</v>
      </c>
      <c r="AD346" s="49" t="s">
        <v>478</v>
      </c>
      <c r="AE346" s="56">
        <v>8848392</v>
      </c>
      <c r="AF346" s="57">
        <v>44271</v>
      </c>
      <c r="AG346" s="152">
        <v>228625.74</v>
      </c>
      <c r="AH346" s="35" t="s">
        <v>479</v>
      </c>
      <c r="AI346" s="49">
        <v>11565228</v>
      </c>
      <c r="AJ346" s="57">
        <v>44461</v>
      </c>
      <c r="AK346" s="156">
        <v>15130.31</v>
      </c>
      <c r="AL346" s="49"/>
      <c r="AM346" s="36" t="s">
        <v>480</v>
      </c>
    </row>
    <row r="347" spans="1:39" ht="15.75" customHeight="1" x14ac:dyDescent="0.25">
      <c r="A347" s="59" t="s">
        <v>724</v>
      </c>
      <c r="B347" s="283"/>
      <c r="C347" s="7"/>
      <c r="D347" s="7"/>
      <c r="E347" s="7"/>
      <c r="F347" s="7"/>
      <c r="G347" s="26"/>
      <c r="H347" s="59"/>
      <c r="J347" s="39"/>
      <c r="K347" s="39"/>
      <c r="Z347" s="58">
        <v>850</v>
      </c>
      <c r="AA347" s="64">
        <v>10653983</v>
      </c>
      <c r="AB347" s="38">
        <v>44413</v>
      </c>
      <c r="AC347" s="157">
        <v>104239.95</v>
      </c>
      <c r="AD347" s="58" t="s">
        <v>481</v>
      </c>
      <c r="AE347" s="42">
        <v>11185434</v>
      </c>
      <c r="AF347" s="59">
        <v>44453</v>
      </c>
      <c r="AG347" s="155">
        <v>79523.81</v>
      </c>
      <c r="AH347" s="169" t="s">
        <v>482</v>
      </c>
      <c r="AI347" s="58">
        <v>11565307</v>
      </c>
      <c r="AJ347" s="59">
        <v>44461</v>
      </c>
      <c r="AK347" s="157">
        <v>17799.2</v>
      </c>
      <c r="AM347" s="40" t="s">
        <v>480</v>
      </c>
    </row>
    <row r="348" spans="1:39" ht="15.75" customHeight="1" x14ac:dyDescent="0.25">
      <c r="A348" s="59" t="s">
        <v>724</v>
      </c>
      <c r="B348" s="283"/>
      <c r="C348" s="7"/>
      <c r="D348" s="7"/>
      <c r="E348" s="7"/>
      <c r="F348" s="7"/>
      <c r="G348" s="26"/>
      <c r="H348" s="59"/>
      <c r="J348" s="39"/>
      <c r="K348" s="39"/>
      <c r="Z348" s="58">
        <v>878</v>
      </c>
      <c r="AA348" s="64">
        <v>12179147</v>
      </c>
      <c r="AB348" s="38">
        <v>44524</v>
      </c>
      <c r="AC348" s="157">
        <v>904.16</v>
      </c>
      <c r="AD348" s="58" t="s">
        <v>483</v>
      </c>
      <c r="AE348" s="42">
        <v>11186186</v>
      </c>
      <c r="AF348" s="59">
        <v>44453</v>
      </c>
      <c r="AG348" s="155">
        <v>33537.89</v>
      </c>
      <c r="AH348" s="169" t="s">
        <v>484</v>
      </c>
      <c r="AI348" s="58">
        <v>11565340</v>
      </c>
      <c r="AJ348" s="59">
        <v>44461</v>
      </c>
      <c r="AK348" s="157">
        <v>87393.72</v>
      </c>
      <c r="AM348" s="40" t="s">
        <v>480</v>
      </c>
    </row>
    <row r="349" spans="1:39" ht="15.75" customHeight="1" x14ac:dyDescent="0.25">
      <c r="A349" s="59" t="s">
        <v>724</v>
      </c>
      <c r="B349" s="283"/>
      <c r="C349" s="7"/>
      <c r="D349" s="7"/>
      <c r="E349" s="7"/>
      <c r="F349" s="7"/>
      <c r="G349" s="26"/>
      <c r="H349" s="59"/>
      <c r="J349" s="39"/>
      <c r="K349" s="39"/>
      <c r="Z349" s="58">
        <v>903</v>
      </c>
      <c r="AA349" s="64">
        <v>13596949</v>
      </c>
      <c r="AB349" s="38">
        <v>44635</v>
      </c>
      <c r="AC349" s="157">
        <v>4369.45</v>
      </c>
      <c r="AD349" s="58" t="s">
        <v>485</v>
      </c>
      <c r="AE349" s="42">
        <v>11194684</v>
      </c>
      <c r="AF349" s="59">
        <v>44455</v>
      </c>
      <c r="AG349" s="155">
        <v>79523.81</v>
      </c>
      <c r="AH349" s="169" t="s">
        <v>486</v>
      </c>
      <c r="AI349" s="58">
        <v>11565399</v>
      </c>
      <c r="AJ349" s="59">
        <v>44461</v>
      </c>
      <c r="AK349" s="157">
        <v>16846.23</v>
      </c>
      <c r="AM349" s="40" t="s">
        <v>480</v>
      </c>
    </row>
    <row r="350" spans="1:39" ht="15.75" customHeight="1" x14ac:dyDescent="0.25">
      <c r="A350" s="59" t="s">
        <v>724</v>
      </c>
      <c r="B350" s="283"/>
      <c r="C350" s="7"/>
      <c r="D350" s="7"/>
      <c r="E350" s="7"/>
      <c r="F350" s="7"/>
      <c r="G350" s="26"/>
      <c r="H350" s="59"/>
      <c r="J350" s="39"/>
      <c r="K350" s="39"/>
      <c r="AA350" s="64"/>
      <c r="AC350" s="157"/>
      <c r="AD350" s="58" t="s">
        <v>487</v>
      </c>
      <c r="AE350" s="42">
        <v>14207551</v>
      </c>
      <c r="AF350" s="59">
        <v>44680</v>
      </c>
      <c r="AG350" s="155">
        <v>39604.769999999997</v>
      </c>
      <c r="AH350" s="169" t="s">
        <v>488</v>
      </c>
      <c r="AI350" s="58">
        <v>13553291</v>
      </c>
      <c r="AJ350" s="59">
        <v>44558</v>
      </c>
      <c r="AK350" s="157">
        <v>80115.789999999994</v>
      </c>
      <c r="AM350" s="40" t="s">
        <v>480</v>
      </c>
    </row>
    <row r="351" spans="1:39" ht="15.75" customHeight="1" x14ac:dyDescent="0.25">
      <c r="A351" s="59" t="s">
        <v>724</v>
      </c>
      <c r="B351" s="283"/>
      <c r="C351" s="7"/>
      <c r="D351" s="7"/>
      <c r="E351" s="7"/>
      <c r="F351" s="7"/>
      <c r="G351" s="26"/>
      <c r="H351" s="59"/>
      <c r="J351" s="39"/>
      <c r="K351" s="39"/>
      <c r="AA351" s="64"/>
      <c r="AC351" s="157"/>
      <c r="AE351" s="42"/>
      <c r="AG351" s="155"/>
      <c r="AH351" s="169" t="s">
        <v>489</v>
      </c>
      <c r="AI351" s="58">
        <v>14675994</v>
      </c>
      <c r="AJ351" s="59">
        <v>44708</v>
      </c>
      <c r="AK351" s="157">
        <v>30863.68</v>
      </c>
      <c r="AM351" s="40" t="s">
        <v>480</v>
      </c>
    </row>
    <row r="352" spans="1:39" ht="15.75" customHeight="1" x14ac:dyDescent="0.25">
      <c r="A352" s="59" t="s">
        <v>724</v>
      </c>
      <c r="B352" s="283"/>
      <c r="C352" s="7"/>
      <c r="D352" s="7"/>
      <c r="E352" s="7"/>
      <c r="F352" s="7"/>
      <c r="G352" s="26"/>
      <c r="H352" s="59"/>
      <c r="J352" s="39"/>
      <c r="K352" s="39"/>
      <c r="AA352" s="64"/>
      <c r="AC352" s="157"/>
      <c r="AE352" s="42"/>
      <c r="AG352" s="155"/>
      <c r="AH352" s="169" t="s">
        <v>490</v>
      </c>
      <c r="AI352" s="58">
        <v>14675997</v>
      </c>
      <c r="AJ352" s="59">
        <v>44708</v>
      </c>
      <c r="AK352" s="157">
        <v>8741.09</v>
      </c>
      <c r="AM352" s="40" t="s">
        <v>480</v>
      </c>
    </row>
    <row r="353" spans="1:39" ht="15.75" customHeight="1" x14ac:dyDescent="0.25">
      <c r="A353" s="59" t="s">
        <v>727</v>
      </c>
      <c r="B353" s="284"/>
      <c r="C353" s="43"/>
      <c r="D353" s="43"/>
      <c r="E353" s="43"/>
      <c r="F353" s="43"/>
      <c r="G353" s="14"/>
      <c r="H353" s="75"/>
      <c r="I353" s="44"/>
      <c r="J353" s="45"/>
      <c r="K353" s="45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121"/>
      <c r="AB353" s="47"/>
      <c r="AC353" s="158"/>
      <c r="AD353" s="44"/>
      <c r="AE353" s="46"/>
      <c r="AF353" s="44"/>
      <c r="AG353" s="153"/>
      <c r="AH353" s="55" t="s">
        <v>491</v>
      </c>
      <c r="AI353" s="44">
        <v>14676000</v>
      </c>
      <c r="AJ353" s="75">
        <v>44708</v>
      </c>
      <c r="AK353" s="158">
        <v>4369.45</v>
      </c>
      <c r="AL353" s="44"/>
      <c r="AM353" s="48" t="s">
        <v>480</v>
      </c>
    </row>
    <row r="354" spans="1:39" ht="15.75" customHeight="1" x14ac:dyDescent="0.25">
      <c r="A354" s="59" t="s">
        <v>727</v>
      </c>
      <c r="B354" s="66" t="s">
        <v>492</v>
      </c>
      <c r="C354" s="67"/>
      <c r="D354" s="67"/>
      <c r="E354" s="67"/>
      <c r="F354" s="67" t="s">
        <v>415</v>
      </c>
      <c r="G354" s="21"/>
      <c r="H354" s="69"/>
      <c r="I354" s="70"/>
      <c r="J354" s="68"/>
      <c r="K354" s="68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124"/>
      <c r="AB354" s="73"/>
      <c r="AC354" s="162"/>
      <c r="AD354" s="70"/>
      <c r="AE354" s="71"/>
      <c r="AF354" s="70"/>
      <c r="AG354" s="154"/>
      <c r="AH354" s="74"/>
      <c r="AI354" s="70"/>
      <c r="AJ354" s="69"/>
      <c r="AK354" s="162"/>
      <c r="AL354" s="70"/>
      <c r="AM354" s="72"/>
    </row>
    <row r="355" spans="1:39" ht="15.75" customHeight="1" x14ac:dyDescent="0.25">
      <c r="A355" s="59" t="s">
        <v>727</v>
      </c>
      <c r="B355" s="282" t="s">
        <v>493</v>
      </c>
      <c r="C355" s="33"/>
      <c r="D355" s="33"/>
      <c r="E355" s="33"/>
      <c r="F355" s="33"/>
      <c r="G355" s="11">
        <v>10</v>
      </c>
      <c r="H355" s="57">
        <v>43466</v>
      </c>
      <c r="I355" s="49">
        <v>3471250</v>
      </c>
      <c r="J355" s="53">
        <v>503</v>
      </c>
      <c r="K355" s="272">
        <v>484400</v>
      </c>
      <c r="L355" s="280">
        <v>43704</v>
      </c>
      <c r="M355" s="278">
        <v>60</v>
      </c>
      <c r="N355" s="280">
        <f>L355+M355</f>
        <v>43764</v>
      </c>
      <c r="O355" s="34" t="s">
        <v>494</v>
      </c>
      <c r="P355" s="49">
        <v>4235375</v>
      </c>
      <c r="Q355" s="34" t="s">
        <v>494</v>
      </c>
      <c r="R355" s="49">
        <v>4235375</v>
      </c>
      <c r="S355" s="49"/>
      <c r="T355" s="49"/>
      <c r="U355" s="49"/>
      <c r="V355" s="49"/>
      <c r="W355" s="49"/>
      <c r="X355" s="49"/>
      <c r="Y355" s="49"/>
      <c r="Z355" s="49">
        <v>9386</v>
      </c>
      <c r="AA355" s="122">
        <v>4247845</v>
      </c>
      <c r="AB355" s="50">
        <v>43812</v>
      </c>
      <c r="AC355" s="156">
        <v>484400</v>
      </c>
      <c r="AD355" s="49" t="s">
        <v>495</v>
      </c>
      <c r="AE355" s="56">
        <v>3496457</v>
      </c>
      <c r="AF355" s="57">
        <v>43735</v>
      </c>
      <c r="AG355" s="152">
        <v>484400</v>
      </c>
      <c r="AH355" s="35" t="s">
        <v>496</v>
      </c>
      <c r="AI355" s="49">
        <v>4320026</v>
      </c>
      <c r="AJ355" s="57">
        <v>43818</v>
      </c>
      <c r="AK355" s="156">
        <v>484400</v>
      </c>
      <c r="AL355" s="49"/>
      <c r="AM355" s="36" t="s">
        <v>77</v>
      </c>
    </row>
    <row r="356" spans="1:39" ht="15.75" customHeight="1" x14ac:dyDescent="0.25">
      <c r="A356" s="59" t="s">
        <v>727</v>
      </c>
      <c r="B356" s="283"/>
      <c r="C356" s="7"/>
      <c r="D356" s="7"/>
      <c r="E356" s="7"/>
      <c r="F356" s="7"/>
      <c r="G356" s="26"/>
      <c r="H356" s="59"/>
      <c r="J356" s="39">
        <v>595</v>
      </c>
      <c r="K356" s="271"/>
      <c r="L356" s="271"/>
      <c r="M356" s="271"/>
      <c r="N356" s="271"/>
      <c r="O356" s="58" t="s">
        <v>497</v>
      </c>
      <c r="P356" s="58">
        <v>4235375</v>
      </c>
      <c r="Q356" s="58" t="s">
        <v>497</v>
      </c>
      <c r="R356" s="58">
        <v>4235375</v>
      </c>
      <c r="AA356" s="64"/>
      <c r="AC356" s="157"/>
      <c r="AE356" s="42"/>
      <c r="AG356" s="155"/>
      <c r="AJ356" s="123"/>
      <c r="AK356" s="157"/>
      <c r="AM356" s="40"/>
    </row>
    <row r="357" spans="1:39" ht="15.75" customHeight="1" x14ac:dyDescent="0.25">
      <c r="A357" s="59" t="s">
        <v>727</v>
      </c>
      <c r="B357" s="283"/>
      <c r="C357" s="7"/>
      <c r="D357" s="7"/>
      <c r="E357" s="7"/>
      <c r="F357" s="7"/>
      <c r="G357" s="26"/>
      <c r="H357" s="59"/>
      <c r="J357" s="39">
        <v>620</v>
      </c>
      <c r="K357" s="271"/>
      <c r="L357" s="271"/>
      <c r="M357" s="271"/>
      <c r="N357" s="271"/>
      <c r="O357" s="58" t="s">
        <v>498</v>
      </c>
      <c r="P357" s="58">
        <v>4235375</v>
      </c>
      <c r="Q357" s="58" t="s">
        <v>498</v>
      </c>
      <c r="R357" s="58">
        <v>4235375</v>
      </c>
      <c r="AA357" s="64"/>
      <c r="AC357" s="157"/>
      <c r="AE357" s="42"/>
      <c r="AG357" s="155"/>
      <c r="AJ357" s="123"/>
      <c r="AK357" s="157"/>
      <c r="AM357" s="40"/>
    </row>
    <row r="358" spans="1:39" ht="15.75" customHeight="1" x14ac:dyDescent="0.25">
      <c r="A358" s="59" t="s">
        <v>727</v>
      </c>
      <c r="B358" s="284"/>
      <c r="C358" s="43"/>
      <c r="D358" s="43"/>
      <c r="E358" s="43"/>
      <c r="F358" s="43"/>
      <c r="G358" s="14"/>
      <c r="H358" s="75"/>
      <c r="I358" s="44"/>
      <c r="J358" s="45"/>
      <c r="K358" s="45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121"/>
      <c r="AB358" s="47"/>
      <c r="AC358" s="158"/>
      <c r="AD358" s="44"/>
      <c r="AE358" s="46"/>
      <c r="AF358" s="44"/>
      <c r="AG358" s="153"/>
      <c r="AH358" s="55"/>
      <c r="AI358" s="44"/>
      <c r="AJ358" s="75"/>
      <c r="AK358" s="158"/>
      <c r="AL358" s="44"/>
      <c r="AM358" s="48"/>
    </row>
    <row r="359" spans="1:39" ht="15.75" customHeight="1" x14ac:dyDescent="0.25">
      <c r="A359" s="59" t="s">
        <v>727</v>
      </c>
      <c r="B359" s="66" t="s">
        <v>499</v>
      </c>
      <c r="C359" s="67"/>
      <c r="D359" s="67"/>
      <c r="E359" s="67"/>
      <c r="F359" s="67"/>
      <c r="G359" s="21">
        <v>2</v>
      </c>
      <c r="H359" s="69">
        <v>43831</v>
      </c>
      <c r="I359" s="70">
        <v>4753297</v>
      </c>
      <c r="J359" s="68">
        <v>150670</v>
      </c>
      <c r="K359" s="68">
        <v>150670</v>
      </c>
      <c r="L359" s="69">
        <v>43858</v>
      </c>
      <c r="M359" s="70">
        <v>90</v>
      </c>
      <c r="N359" s="69">
        <f>L359+M359</f>
        <v>43948</v>
      </c>
      <c r="O359" s="70" t="s">
        <v>500</v>
      </c>
      <c r="P359" s="70">
        <v>7292253</v>
      </c>
      <c r="Q359" s="70" t="s">
        <v>500</v>
      </c>
      <c r="R359" s="70">
        <v>7292253</v>
      </c>
      <c r="S359" s="70">
        <v>7327833</v>
      </c>
      <c r="T359" s="69">
        <v>44130</v>
      </c>
      <c r="U359" s="70">
        <v>7327867</v>
      </c>
      <c r="V359" s="69">
        <v>44133</v>
      </c>
      <c r="W359" s="70">
        <v>7673784</v>
      </c>
      <c r="X359" s="92" t="s">
        <v>501</v>
      </c>
      <c r="Y359" s="70"/>
      <c r="Z359" s="70">
        <v>550521</v>
      </c>
      <c r="AA359" s="124">
        <v>7327685</v>
      </c>
      <c r="AB359" s="73">
        <v>44088</v>
      </c>
      <c r="AC359" s="162">
        <v>150670</v>
      </c>
      <c r="AD359" s="70" t="s">
        <v>502</v>
      </c>
      <c r="AE359" s="71">
        <v>5291175</v>
      </c>
      <c r="AF359" s="69">
        <v>43935</v>
      </c>
      <c r="AG359" s="154">
        <v>150670</v>
      </c>
      <c r="AH359" s="74" t="s">
        <v>503</v>
      </c>
      <c r="AI359" s="70">
        <v>7923967</v>
      </c>
      <c r="AJ359" s="69">
        <v>44180</v>
      </c>
      <c r="AK359" s="162">
        <v>150670</v>
      </c>
      <c r="AL359" s="70"/>
      <c r="AM359" s="72" t="s">
        <v>77</v>
      </c>
    </row>
    <row r="360" spans="1:39" ht="15.75" customHeight="1" x14ac:dyDescent="0.25">
      <c r="A360" s="59" t="s">
        <v>727</v>
      </c>
      <c r="B360" s="66" t="s">
        <v>504</v>
      </c>
      <c r="C360" s="67"/>
      <c r="D360" s="67"/>
      <c r="E360" s="67"/>
      <c r="F360" s="67"/>
      <c r="G360" s="21">
        <v>23</v>
      </c>
      <c r="H360" s="69">
        <v>43466</v>
      </c>
      <c r="I360" s="70">
        <v>4242099</v>
      </c>
      <c r="J360" s="68">
        <v>11026.39</v>
      </c>
      <c r="K360" s="68">
        <v>11026.39</v>
      </c>
      <c r="L360" s="69">
        <v>43804</v>
      </c>
      <c r="M360" s="70">
        <v>30</v>
      </c>
      <c r="N360" s="69">
        <f>L360+M360</f>
        <v>43834</v>
      </c>
      <c r="O360" s="70" t="s">
        <v>505</v>
      </c>
      <c r="P360" s="70">
        <v>7062879</v>
      </c>
      <c r="Q360" s="70" t="s">
        <v>505</v>
      </c>
      <c r="R360" s="70">
        <v>7062879</v>
      </c>
      <c r="S360" s="70">
        <v>7121358</v>
      </c>
      <c r="T360" s="69">
        <v>44085</v>
      </c>
      <c r="U360" s="70">
        <v>7800720</v>
      </c>
      <c r="V360" s="69">
        <v>44110</v>
      </c>
      <c r="W360" s="70">
        <v>7800662</v>
      </c>
      <c r="X360" s="70" t="s">
        <v>506</v>
      </c>
      <c r="Y360" s="70"/>
      <c r="Z360" s="70">
        <v>361</v>
      </c>
      <c r="AA360" s="124">
        <v>7126009</v>
      </c>
      <c r="AB360" s="73">
        <v>44085</v>
      </c>
      <c r="AC360" s="162">
        <v>22052.78</v>
      </c>
      <c r="AD360" s="70" t="s">
        <v>507</v>
      </c>
      <c r="AE360" s="71">
        <v>5287517</v>
      </c>
      <c r="AF360" s="69">
        <v>43935</v>
      </c>
      <c r="AG360" s="154">
        <v>22052.78</v>
      </c>
      <c r="AH360" s="74" t="s">
        <v>508</v>
      </c>
      <c r="AI360" s="70">
        <v>7896134</v>
      </c>
      <c r="AJ360" s="69">
        <v>44175</v>
      </c>
      <c r="AK360" s="162">
        <v>22052.78</v>
      </c>
      <c r="AL360" s="70"/>
      <c r="AM360" s="72" t="s">
        <v>77</v>
      </c>
    </row>
    <row r="361" spans="1:39" ht="15.75" customHeight="1" x14ac:dyDescent="0.25">
      <c r="A361" s="59" t="s">
        <v>727</v>
      </c>
      <c r="B361" s="282" t="s">
        <v>509</v>
      </c>
      <c r="C361" s="33"/>
      <c r="D361" s="33"/>
      <c r="E361" s="33"/>
      <c r="F361" s="33"/>
      <c r="G361" s="11">
        <v>50</v>
      </c>
      <c r="H361" s="57">
        <v>44197</v>
      </c>
      <c r="I361" s="49">
        <v>11034768</v>
      </c>
      <c r="J361" s="53">
        <v>1426.34</v>
      </c>
      <c r="K361" s="53">
        <v>1426.34</v>
      </c>
      <c r="L361" s="280">
        <v>44452</v>
      </c>
      <c r="M361" s="278">
        <v>30</v>
      </c>
      <c r="N361" s="280">
        <f>L361+M361</f>
        <v>44482</v>
      </c>
      <c r="O361" s="278" t="s">
        <v>510</v>
      </c>
      <c r="P361" s="278">
        <v>11315716</v>
      </c>
      <c r="Q361" s="278" t="s">
        <v>510</v>
      </c>
      <c r="R361" s="278">
        <v>11315716</v>
      </c>
      <c r="S361" s="49">
        <v>11430299</v>
      </c>
      <c r="T361" s="57">
        <v>44473</v>
      </c>
      <c r="U361" s="49">
        <v>11430704</v>
      </c>
      <c r="V361" s="57">
        <v>44475</v>
      </c>
      <c r="W361" s="49">
        <v>11434382</v>
      </c>
      <c r="X361" s="49" t="s">
        <v>511</v>
      </c>
      <c r="Y361" s="49"/>
      <c r="Z361" s="49">
        <v>64</v>
      </c>
      <c r="AA361" s="122">
        <v>11430194</v>
      </c>
      <c r="AB361" s="50">
        <v>44462</v>
      </c>
      <c r="AC361" s="156">
        <v>1999</v>
      </c>
      <c r="AD361" s="49" t="s">
        <v>512</v>
      </c>
      <c r="AE361" s="56">
        <v>10731690</v>
      </c>
      <c r="AF361" s="57">
        <v>44419</v>
      </c>
      <c r="AG361" s="152">
        <v>8125</v>
      </c>
      <c r="AH361" s="35" t="s">
        <v>513</v>
      </c>
      <c r="AI361" s="49">
        <v>11642892</v>
      </c>
      <c r="AJ361" s="57">
        <v>44474</v>
      </c>
      <c r="AK361" s="156">
        <v>1999</v>
      </c>
      <c r="AL361" s="49"/>
      <c r="AM361" s="36" t="s">
        <v>77</v>
      </c>
    </row>
    <row r="362" spans="1:39" ht="15.75" customHeight="1" x14ac:dyDescent="0.25">
      <c r="A362" s="59" t="s">
        <v>727</v>
      </c>
      <c r="B362" s="283"/>
      <c r="C362" s="7"/>
      <c r="D362" s="7"/>
      <c r="E362" s="7"/>
      <c r="F362" s="7"/>
      <c r="G362" s="292">
        <v>51</v>
      </c>
      <c r="H362" s="274">
        <v>44197</v>
      </c>
      <c r="I362" s="275">
        <v>11034802</v>
      </c>
      <c r="J362" s="31">
        <v>2888.43</v>
      </c>
      <c r="K362" s="273">
        <v>11976.86</v>
      </c>
      <c r="L362" s="271"/>
      <c r="M362" s="271"/>
      <c r="N362" s="271"/>
      <c r="O362" s="271"/>
      <c r="P362" s="271"/>
      <c r="Q362" s="271"/>
      <c r="R362" s="271"/>
      <c r="S362" s="58">
        <v>11677477</v>
      </c>
      <c r="T362" s="59">
        <v>44490</v>
      </c>
      <c r="U362" s="58">
        <v>11678059</v>
      </c>
      <c r="V362" s="59">
        <v>44490</v>
      </c>
      <c r="W362" s="58">
        <v>11678506</v>
      </c>
      <c r="X362" s="58" t="s">
        <v>514</v>
      </c>
      <c r="Z362" s="58">
        <v>1221</v>
      </c>
      <c r="AA362" s="64">
        <v>11677429</v>
      </c>
      <c r="AB362" s="38">
        <v>44455</v>
      </c>
      <c r="AC362" s="157">
        <v>2834.98</v>
      </c>
      <c r="AD362" s="58" t="s">
        <v>515</v>
      </c>
      <c r="AE362" s="42">
        <v>10731727</v>
      </c>
      <c r="AF362" s="59">
        <v>44419</v>
      </c>
      <c r="AG362" s="155">
        <v>1970</v>
      </c>
      <c r="AH362" s="169" t="s">
        <v>516</v>
      </c>
      <c r="AI362" s="58">
        <v>11924258</v>
      </c>
      <c r="AJ362" s="59">
        <v>44497</v>
      </c>
      <c r="AK362" s="157">
        <v>1347.79</v>
      </c>
      <c r="AM362" s="40" t="s">
        <v>77</v>
      </c>
    </row>
    <row r="363" spans="1:39" ht="15.75" customHeight="1" x14ac:dyDescent="0.25">
      <c r="A363" s="59" t="s">
        <v>727</v>
      </c>
      <c r="B363" s="283"/>
      <c r="C363" s="7"/>
      <c r="D363" s="7"/>
      <c r="E363" s="7"/>
      <c r="F363" s="7"/>
      <c r="G363" s="286"/>
      <c r="H363" s="271"/>
      <c r="I363" s="271"/>
      <c r="J363" s="31">
        <v>3100</v>
      </c>
      <c r="K363" s="271"/>
      <c r="L363" s="271"/>
      <c r="M363" s="271"/>
      <c r="N363" s="271"/>
      <c r="O363" s="271"/>
      <c r="P363" s="271"/>
      <c r="Q363" s="271"/>
      <c r="R363" s="271"/>
      <c r="S363" s="58">
        <v>11679538</v>
      </c>
      <c r="T363" s="59">
        <v>44490</v>
      </c>
      <c r="U363" s="58">
        <v>11687711</v>
      </c>
      <c r="V363" s="59">
        <v>44491</v>
      </c>
      <c r="W363" s="58">
        <v>11688361</v>
      </c>
      <c r="X363" s="58" t="s">
        <v>517</v>
      </c>
      <c r="Z363" s="58">
        <v>5344</v>
      </c>
      <c r="AA363" s="64">
        <v>11679108</v>
      </c>
      <c r="AB363" s="38">
        <v>44470</v>
      </c>
      <c r="AC363" s="157">
        <v>1347.79</v>
      </c>
      <c r="AD363" s="58" t="s">
        <v>518</v>
      </c>
      <c r="AE363" s="42">
        <v>10731778</v>
      </c>
      <c r="AF363" s="59">
        <v>44419</v>
      </c>
      <c r="AG363" s="155">
        <v>8400</v>
      </c>
      <c r="AH363" s="169" t="s">
        <v>519</v>
      </c>
      <c r="AI363" s="58">
        <v>11924280</v>
      </c>
      <c r="AJ363" s="59">
        <v>44497</v>
      </c>
      <c r="AK363" s="157">
        <v>2834.98</v>
      </c>
      <c r="AM363" s="40" t="s">
        <v>77</v>
      </c>
    </row>
    <row r="364" spans="1:39" ht="15.75" customHeight="1" x14ac:dyDescent="0.25">
      <c r="A364" s="59" t="s">
        <v>727</v>
      </c>
      <c r="B364" s="283"/>
      <c r="C364" s="7"/>
      <c r="D364" s="7"/>
      <c r="E364" s="7"/>
      <c r="F364" s="7"/>
      <c r="G364" s="292">
        <v>53</v>
      </c>
      <c r="H364" s="306">
        <v>44197</v>
      </c>
      <c r="I364" s="275">
        <v>11153962</v>
      </c>
      <c r="J364" s="39">
        <v>1050</v>
      </c>
      <c r="K364" s="273">
        <v>3199.98</v>
      </c>
      <c r="L364" s="271"/>
      <c r="M364" s="271"/>
      <c r="N364" s="271"/>
      <c r="O364" s="271"/>
      <c r="P364" s="271"/>
      <c r="Q364" s="271"/>
      <c r="R364" s="271"/>
      <c r="S364" s="58">
        <v>11888186</v>
      </c>
      <c r="T364" s="59">
        <v>44508</v>
      </c>
      <c r="U364" s="58">
        <v>11890082</v>
      </c>
      <c r="V364" s="59">
        <v>44508</v>
      </c>
      <c r="W364" s="58">
        <v>11892557</v>
      </c>
      <c r="X364" s="58" t="s">
        <v>520</v>
      </c>
      <c r="Z364" s="58">
        <v>12</v>
      </c>
      <c r="AA364" s="64">
        <v>11886980</v>
      </c>
      <c r="AB364" s="38">
        <v>45199</v>
      </c>
      <c r="AC364" s="157">
        <v>4173</v>
      </c>
      <c r="AD364" s="58" t="s">
        <v>521</v>
      </c>
      <c r="AE364" s="42">
        <v>10731821</v>
      </c>
      <c r="AF364" s="59">
        <v>44419</v>
      </c>
      <c r="AG364" s="155">
        <v>22920</v>
      </c>
      <c r="AH364" s="169" t="s">
        <v>522</v>
      </c>
      <c r="AI364" s="58">
        <v>12004245</v>
      </c>
      <c r="AJ364" s="59">
        <v>44510</v>
      </c>
      <c r="AK364" s="157">
        <v>4173</v>
      </c>
      <c r="AM364" s="40" t="s">
        <v>77</v>
      </c>
    </row>
    <row r="365" spans="1:39" ht="15.75" customHeight="1" x14ac:dyDescent="0.25">
      <c r="A365" s="59" t="s">
        <v>727</v>
      </c>
      <c r="B365" s="283"/>
      <c r="C365" s="7"/>
      <c r="D365" s="7"/>
      <c r="E365" s="7"/>
      <c r="F365" s="7"/>
      <c r="G365" s="286"/>
      <c r="H365" s="271"/>
      <c r="I365" s="271"/>
      <c r="J365" s="39">
        <v>183.33</v>
      </c>
      <c r="K365" s="271"/>
      <c r="L365" s="271"/>
      <c r="M365" s="271"/>
      <c r="N365" s="271"/>
      <c r="O365" s="271"/>
      <c r="P365" s="271"/>
      <c r="Q365" s="271"/>
      <c r="R365" s="271"/>
      <c r="S365" s="58">
        <v>12396000</v>
      </c>
      <c r="T365" s="59">
        <v>44510</v>
      </c>
      <c r="U365" s="58">
        <v>12396088</v>
      </c>
      <c r="V365" s="59">
        <v>44540</v>
      </c>
      <c r="W365" s="58">
        <v>12395672</v>
      </c>
      <c r="X365" s="58" t="s">
        <v>523</v>
      </c>
      <c r="Z365" s="58">
        <v>580</v>
      </c>
      <c r="AA365" s="64">
        <v>12394195</v>
      </c>
      <c r="AB365" s="38">
        <v>44491</v>
      </c>
      <c r="AC365" s="157">
        <v>5776.86</v>
      </c>
      <c r="AD365" s="58" t="s">
        <v>524</v>
      </c>
      <c r="AE365" s="42">
        <v>10731867</v>
      </c>
      <c r="AF365" s="59">
        <v>44419</v>
      </c>
      <c r="AG365" s="155">
        <v>8626.34</v>
      </c>
      <c r="AH365" s="169" t="s">
        <v>525</v>
      </c>
      <c r="AI365" s="58">
        <v>13221147</v>
      </c>
      <c r="AJ365" s="59">
        <v>44606</v>
      </c>
      <c r="AK365" s="157">
        <v>8626.34</v>
      </c>
      <c r="AM365" s="40" t="s">
        <v>77</v>
      </c>
    </row>
    <row r="366" spans="1:39" ht="15.75" customHeight="1" x14ac:dyDescent="0.25">
      <c r="A366" s="59" t="s">
        <v>727</v>
      </c>
      <c r="B366" s="283"/>
      <c r="C366" s="7"/>
      <c r="D366" s="7"/>
      <c r="E366" s="7"/>
      <c r="F366" s="7"/>
      <c r="G366" s="26">
        <v>54</v>
      </c>
      <c r="H366" s="59">
        <v>44197</v>
      </c>
      <c r="I366" s="58">
        <v>11034993</v>
      </c>
      <c r="J366" s="39">
        <v>3204.99</v>
      </c>
      <c r="K366" s="39">
        <v>19229.939999999999</v>
      </c>
      <c r="L366" s="271"/>
      <c r="M366" s="271"/>
      <c r="N366" s="271"/>
      <c r="O366" s="271"/>
      <c r="P366" s="271"/>
      <c r="Q366" s="271"/>
      <c r="R366" s="271"/>
      <c r="S366" s="58">
        <v>12770176</v>
      </c>
      <c r="T366" s="59">
        <v>44575</v>
      </c>
      <c r="U366" s="58">
        <v>12771049</v>
      </c>
      <c r="V366" s="59">
        <v>44587</v>
      </c>
      <c r="W366" s="58">
        <v>12772153</v>
      </c>
      <c r="X366" s="58" t="s">
        <v>526</v>
      </c>
      <c r="Z366" s="58">
        <v>581</v>
      </c>
      <c r="AA366" s="64">
        <v>12396204</v>
      </c>
      <c r="AB366" s="38">
        <v>44491</v>
      </c>
      <c r="AC366" s="157">
        <v>6200</v>
      </c>
      <c r="AD366" s="58" t="s">
        <v>527</v>
      </c>
      <c r="AE366" s="42">
        <v>10731981</v>
      </c>
      <c r="AF366" s="59">
        <v>44419</v>
      </c>
      <c r="AG366" s="155">
        <v>5776.86</v>
      </c>
      <c r="AH366" s="169" t="s">
        <v>528</v>
      </c>
      <c r="AI366" s="58">
        <v>13221091</v>
      </c>
      <c r="AJ366" s="59">
        <v>44606</v>
      </c>
      <c r="AK366" s="157">
        <v>11976.85</v>
      </c>
      <c r="AM366" s="40" t="s">
        <v>77</v>
      </c>
    </row>
    <row r="367" spans="1:39" ht="15.75" customHeight="1" x14ac:dyDescent="0.25">
      <c r="A367" s="59" t="s">
        <v>727</v>
      </c>
      <c r="B367" s="283"/>
      <c r="C367" s="7"/>
      <c r="D367" s="7"/>
      <c r="E367" s="7"/>
      <c r="F367" s="7"/>
      <c r="G367" s="292">
        <v>55</v>
      </c>
      <c r="H367" s="274">
        <v>44197</v>
      </c>
      <c r="I367" s="275">
        <v>11035082</v>
      </c>
      <c r="J367" s="39">
        <v>738</v>
      </c>
      <c r="K367" s="273">
        <v>4173</v>
      </c>
      <c r="L367" s="271"/>
      <c r="M367" s="271"/>
      <c r="N367" s="271"/>
      <c r="O367" s="271"/>
      <c r="P367" s="271"/>
      <c r="Q367" s="271"/>
      <c r="R367" s="271"/>
      <c r="U367" s="58">
        <v>13099460</v>
      </c>
      <c r="V367" s="59">
        <v>44602</v>
      </c>
      <c r="Z367" s="58">
        <v>485</v>
      </c>
      <c r="AA367" s="64">
        <v>12769554</v>
      </c>
      <c r="AB367" s="38">
        <v>44537</v>
      </c>
      <c r="AC367" s="157">
        <v>8626.34</v>
      </c>
      <c r="AD367" s="58" t="s">
        <v>529</v>
      </c>
      <c r="AE367" s="42">
        <v>10732029</v>
      </c>
      <c r="AF367" s="59">
        <v>44419</v>
      </c>
      <c r="AG367" s="155">
        <v>6200</v>
      </c>
      <c r="AJ367" s="123"/>
      <c r="AK367" s="157"/>
      <c r="AM367" s="40"/>
    </row>
    <row r="368" spans="1:39" ht="15.75" customHeight="1" x14ac:dyDescent="0.25">
      <c r="A368" s="59" t="s">
        <v>727</v>
      </c>
      <c r="B368" s="283"/>
      <c r="C368" s="7"/>
      <c r="D368" s="7"/>
      <c r="E368" s="7"/>
      <c r="F368" s="7"/>
      <c r="G368" s="286"/>
      <c r="H368" s="271"/>
      <c r="I368" s="271"/>
      <c r="J368" s="39">
        <v>110</v>
      </c>
      <c r="K368" s="271"/>
      <c r="L368" s="271"/>
      <c r="M368" s="271"/>
      <c r="N368" s="271"/>
      <c r="O368" s="271"/>
      <c r="P368" s="271"/>
      <c r="Q368" s="271"/>
      <c r="R368" s="271"/>
      <c r="S368" s="58">
        <v>14273679</v>
      </c>
      <c r="T368" s="59">
        <v>44685</v>
      </c>
      <c r="U368" s="58">
        <v>14274222</v>
      </c>
      <c r="V368" s="59">
        <v>44685</v>
      </c>
      <c r="W368" s="58">
        <v>14274507</v>
      </c>
      <c r="X368" s="58" t="s">
        <v>530</v>
      </c>
      <c r="Z368" s="58">
        <v>118</v>
      </c>
      <c r="AA368" s="64">
        <v>14271769</v>
      </c>
      <c r="AB368" s="38">
        <v>44683</v>
      </c>
      <c r="AC368" s="157">
        <v>7900</v>
      </c>
      <c r="AD368" s="58" t="s">
        <v>531</v>
      </c>
      <c r="AE368" s="42">
        <v>10732095</v>
      </c>
      <c r="AF368" s="59">
        <v>44419</v>
      </c>
      <c r="AG368" s="155">
        <v>1000</v>
      </c>
      <c r="AH368" s="169" t="s">
        <v>532</v>
      </c>
      <c r="AI368" s="58">
        <v>14697099</v>
      </c>
      <c r="AJ368" s="59">
        <v>44708</v>
      </c>
      <c r="AK368" s="157">
        <v>7900</v>
      </c>
      <c r="AM368" s="40" t="s">
        <v>77</v>
      </c>
    </row>
    <row r="369" spans="1:39" ht="15.75" customHeight="1" x14ac:dyDescent="0.25">
      <c r="A369" s="59" t="s">
        <v>727</v>
      </c>
      <c r="B369" s="283"/>
      <c r="C369" s="7"/>
      <c r="D369" s="7"/>
      <c r="E369" s="7"/>
      <c r="F369" s="7"/>
      <c r="G369" s="286"/>
      <c r="H369" s="271"/>
      <c r="I369" s="271"/>
      <c r="J369" s="39">
        <v>500</v>
      </c>
      <c r="K369" s="271"/>
      <c r="L369" s="271"/>
      <c r="M369" s="271"/>
      <c r="N369" s="271"/>
      <c r="O369" s="271"/>
      <c r="P369" s="271"/>
      <c r="Q369" s="271"/>
      <c r="R369" s="271"/>
      <c r="S369" s="58">
        <v>14698306</v>
      </c>
      <c r="T369" s="59">
        <v>44711</v>
      </c>
      <c r="U369" s="58">
        <v>14698915</v>
      </c>
      <c r="V369" s="59">
        <v>44732</v>
      </c>
      <c r="W369" s="58">
        <v>14699115</v>
      </c>
      <c r="X369" s="58" t="s">
        <v>533</v>
      </c>
      <c r="Z369" s="58">
        <v>4833</v>
      </c>
      <c r="AA369" s="64">
        <v>14697034</v>
      </c>
      <c r="AB369" s="38">
        <v>44690</v>
      </c>
      <c r="AC369" s="157">
        <v>19229.939999999999</v>
      </c>
      <c r="AD369" s="58" t="s">
        <v>534</v>
      </c>
      <c r="AE369" s="42">
        <v>10732140</v>
      </c>
      <c r="AF369" s="59">
        <v>44419</v>
      </c>
      <c r="AG369" s="155">
        <v>3199.98</v>
      </c>
      <c r="AH369" s="169" t="s">
        <v>535</v>
      </c>
      <c r="AI369" s="58">
        <v>15070647</v>
      </c>
      <c r="AJ369" s="59">
        <v>44703</v>
      </c>
      <c r="AK369" s="157">
        <v>19229.939999999999</v>
      </c>
      <c r="AM369" s="40" t="s">
        <v>77</v>
      </c>
    </row>
    <row r="370" spans="1:39" ht="15.75" customHeight="1" x14ac:dyDescent="0.25">
      <c r="A370" s="59" t="s">
        <v>727</v>
      </c>
      <c r="B370" s="283"/>
      <c r="C370" s="7"/>
      <c r="D370" s="7"/>
      <c r="E370" s="7"/>
      <c r="F370" s="7"/>
      <c r="G370" s="292">
        <v>56</v>
      </c>
      <c r="H370" s="274">
        <v>44197</v>
      </c>
      <c r="I370" s="275">
        <v>11035149</v>
      </c>
      <c r="J370" s="39">
        <v>724.99</v>
      </c>
      <c r="K370" s="273">
        <v>1347.79</v>
      </c>
      <c r="L370" s="271"/>
      <c r="M370" s="271"/>
      <c r="N370" s="271"/>
      <c r="O370" s="271"/>
      <c r="P370" s="271"/>
      <c r="Q370" s="271"/>
      <c r="R370" s="271"/>
      <c r="AA370" s="64"/>
      <c r="AC370" s="157"/>
      <c r="AD370" s="58" t="s">
        <v>536</v>
      </c>
      <c r="AE370" s="42">
        <v>10732230</v>
      </c>
      <c r="AF370" s="59">
        <v>44419</v>
      </c>
      <c r="AG370" s="155">
        <v>19229.939999999999</v>
      </c>
      <c r="AJ370" s="123"/>
      <c r="AK370" s="157"/>
      <c r="AM370" s="40"/>
    </row>
    <row r="371" spans="1:39" ht="15.75" customHeight="1" x14ac:dyDescent="0.25">
      <c r="A371" s="59" t="s">
        <v>727</v>
      </c>
      <c r="B371" s="283"/>
      <c r="C371" s="7"/>
      <c r="D371" s="7"/>
      <c r="E371" s="7"/>
      <c r="F371" s="7"/>
      <c r="G371" s="286"/>
      <c r="H371" s="271"/>
      <c r="I371" s="271"/>
      <c r="J371" s="39">
        <v>155.69999999999999</v>
      </c>
      <c r="K371" s="271"/>
      <c r="L371" s="271"/>
      <c r="M371" s="271"/>
      <c r="N371" s="271"/>
      <c r="O371" s="271"/>
      <c r="P371" s="271"/>
      <c r="Q371" s="271"/>
      <c r="R371" s="271"/>
      <c r="AA371" s="64"/>
      <c r="AC371" s="157"/>
      <c r="AD371" s="58" t="s">
        <v>537</v>
      </c>
      <c r="AE371" s="42">
        <v>10732286</v>
      </c>
      <c r="AF371" s="59">
        <v>44419</v>
      </c>
      <c r="AG371" s="155">
        <v>4173</v>
      </c>
      <c r="AJ371" s="123"/>
      <c r="AK371" s="157"/>
      <c r="AM371" s="40"/>
    </row>
    <row r="372" spans="1:39" ht="15.75" customHeight="1" x14ac:dyDescent="0.25">
      <c r="A372" s="59" t="s">
        <v>727</v>
      </c>
      <c r="B372" s="283"/>
      <c r="C372" s="7"/>
      <c r="D372" s="7"/>
      <c r="E372" s="7"/>
      <c r="F372" s="7"/>
      <c r="G372" s="26">
        <v>57</v>
      </c>
      <c r="H372" s="59">
        <v>44197</v>
      </c>
      <c r="I372" s="58">
        <v>11035259</v>
      </c>
      <c r="J372" s="39">
        <v>1417.49</v>
      </c>
      <c r="K372" s="39">
        <v>2834.48</v>
      </c>
      <c r="L372" s="271"/>
      <c r="M372" s="271"/>
      <c r="N372" s="271"/>
      <c r="O372" s="271"/>
      <c r="P372" s="271"/>
      <c r="Q372" s="271"/>
      <c r="R372" s="271"/>
      <c r="AA372" s="64"/>
      <c r="AC372" s="157"/>
      <c r="AD372" s="58" t="s">
        <v>538</v>
      </c>
      <c r="AE372" s="42">
        <v>10732751</v>
      </c>
      <c r="AF372" s="59">
        <v>44419</v>
      </c>
      <c r="AG372" s="155">
        <v>1347.79</v>
      </c>
      <c r="AJ372" s="123"/>
      <c r="AK372" s="157"/>
      <c r="AM372" s="40"/>
    </row>
    <row r="373" spans="1:39" ht="15.75" customHeight="1" x14ac:dyDescent="0.25">
      <c r="A373" s="59" t="s">
        <v>727</v>
      </c>
      <c r="B373" s="283"/>
      <c r="C373" s="7"/>
      <c r="D373" s="7"/>
      <c r="E373" s="7"/>
      <c r="F373" s="7"/>
      <c r="G373" s="26">
        <v>58</v>
      </c>
      <c r="H373" s="59">
        <v>44197</v>
      </c>
      <c r="I373" s="58">
        <v>11035375</v>
      </c>
      <c r="J373" s="39">
        <v>3950</v>
      </c>
      <c r="K373" s="39">
        <v>7900</v>
      </c>
      <c r="L373" s="271"/>
      <c r="M373" s="271"/>
      <c r="N373" s="271"/>
      <c r="O373" s="271"/>
      <c r="P373" s="271"/>
      <c r="Q373" s="271"/>
      <c r="R373" s="271"/>
      <c r="AA373" s="64"/>
      <c r="AC373" s="157"/>
      <c r="AD373" s="58" t="s">
        <v>539</v>
      </c>
      <c r="AE373" s="42">
        <v>10732806</v>
      </c>
      <c r="AF373" s="59">
        <v>44419</v>
      </c>
      <c r="AG373" s="155">
        <v>2834.98</v>
      </c>
      <c r="AJ373" s="123"/>
      <c r="AK373" s="157"/>
      <c r="AM373" s="40"/>
    </row>
    <row r="374" spans="1:39" ht="15.75" customHeight="1" x14ac:dyDescent="0.25">
      <c r="A374" s="59" t="s">
        <v>727</v>
      </c>
      <c r="B374" s="283"/>
      <c r="C374" s="7"/>
      <c r="D374" s="7"/>
      <c r="E374" s="7"/>
      <c r="F374" s="7"/>
      <c r="G374" s="26">
        <v>59</v>
      </c>
      <c r="H374" s="59">
        <v>44197</v>
      </c>
      <c r="I374" s="58">
        <v>11035463</v>
      </c>
      <c r="J374" s="39">
        <v>999.5</v>
      </c>
      <c r="K374" s="39">
        <v>1999</v>
      </c>
      <c r="L374" s="271"/>
      <c r="M374" s="271"/>
      <c r="N374" s="271"/>
      <c r="O374" s="271"/>
      <c r="P374" s="271"/>
      <c r="Q374" s="271"/>
      <c r="R374" s="271"/>
      <c r="AA374" s="64"/>
      <c r="AC374" s="157"/>
      <c r="AD374" s="58" t="s">
        <v>540</v>
      </c>
      <c r="AE374" s="42">
        <v>10732878</v>
      </c>
      <c r="AF374" s="59">
        <v>44419</v>
      </c>
      <c r="AG374" s="155">
        <v>7900</v>
      </c>
      <c r="AJ374" s="123"/>
      <c r="AK374" s="157"/>
      <c r="AM374" s="40"/>
    </row>
    <row r="375" spans="1:39" ht="15.75" customHeight="1" x14ac:dyDescent="0.25">
      <c r="A375" s="59" t="s">
        <v>727</v>
      </c>
      <c r="B375" s="284"/>
      <c r="C375" s="43"/>
      <c r="D375" s="43"/>
      <c r="E375" s="43"/>
      <c r="F375" s="43"/>
      <c r="G375" s="14"/>
      <c r="H375" s="75"/>
      <c r="I375" s="44"/>
      <c r="J375" s="45"/>
      <c r="K375" s="45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121"/>
      <c r="AB375" s="47"/>
      <c r="AC375" s="158"/>
      <c r="AD375" s="44" t="s">
        <v>541</v>
      </c>
      <c r="AE375" s="46">
        <v>10732931</v>
      </c>
      <c r="AF375" s="75">
        <v>44419</v>
      </c>
      <c r="AG375" s="153">
        <v>1999</v>
      </c>
      <c r="AH375" s="55"/>
      <c r="AI375" s="44"/>
      <c r="AJ375" s="75"/>
      <c r="AK375" s="158"/>
      <c r="AL375" s="44"/>
      <c r="AM375" s="48"/>
    </row>
    <row r="376" spans="1:39" ht="15.75" customHeight="1" x14ac:dyDescent="0.25">
      <c r="A376" s="59" t="s">
        <v>727</v>
      </c>
      <c r="B376" s="66" t="s">
        <v>542</v>
      </c>
      <c r="C376" s="67"/>
      <c r="D376" s="67"/>
      <c r="E376" s="67"/>
      <c r="F376" s="67" t="s">
        <v>415</v>
      </c>
      <c r="G376" s="21"/>
      <c r="H376" s="69"/>
      <c r="I376" s="70"/>
      <c r="J376" s="68"/>
      <c r="K376" s="68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124"/>
      <c r="AB376" s="73"/>
      <c r="AC376" s="162"/>
      <c r="AD376" s="70"/>
      <c r="AE376" s="71"/>
      <c r="AF376" s="70"/>
      <c r="AG376" s="154"/>
      <c r="AH376" s="74"/>
      <c r="AI376" s="70"/>
      <c r="AJ376" s="69"/>
      <c r="AK376" s="162"/>
      <c r="AL376" s="70"/>
      <c r="AM376" s="72"/>
    </row>
    <row r="377" spans="1:39" ht="15.75" customHeight="1" x14ac:dyDescent="0.25">
      <c r="A377" s="59" t="s">
        <v>724</v>
      </c>
      <c r="B377" s="66" t="s">
        <v>492</v>
      </c>
      <c r="C377" s="67"/>
      <c r="D377" s="67"/>
      <c r="E377" s="67"/>
      <c r="F377" s="67" t="s">
        <v>415</v>
      </c>
      <c r="G377" s="21"/>
      <c r="H377" s="69"/>
      <c r="I377" s="70"/>
      <c r="J377" s="68"/>
      <c r="K377" s="68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124"/>
      <c r="AB377" s="73"/>
      <c r="AC377" s="162"/>
      <c r="AD377" s="70"/>
      <c r="AE377" s="71"/>
      <c r="AF377" s="70"/>
      <c r="AG377" s="154"/>
      <c r="AH377" s="74"/>
      <c r="AI377" s="70"/>
      <c r="AJ377" s="69"/>
      <c r="AK377" s="162"/>
      <c r="AL377" s="70"/>
      <c r="AM377" s="72"/>
    </row>
    <row r="378" spans="1:39" ht="15.75" customHeight="1" x14ac:dyDescent="0.25">
      <c r="A378" s="59" t="s">
        <v>724</v>
      </c>
      <c r="B378" s="19" t="s">
        <v>543</v>
      </c>
      <c r="C378" s="67"/>
      <c r="D378" s="67"/>
      <c r="E378" s="67"/>
      <c r="F378" s="67" t="s">
        <v>415</v>
      </c>
      <c r="G378" s="21"/>
      <c r="H378" s="69"/>
      <c r="I378" s="70"/>
      <c r="J378" s="68"/>
      <c r="K378" s="68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124"/>
      <c r="AB378" s="73"/>
      <c r="AC378" s="162"/>
      <c r="AD378" s="70"/>
      <c r="AE378" s="71"/>
      <c r="AF378" s="70"/>
      <c r="AG378" s="154"/>
      <c r="AH378" s="74"/>
      <c r="AI378" s="70"/>
      <c r="AJ378" s="69"/>
      <c r="AK378" s="162"/>
      <c r="AL378" s="70"/>
      <c r="AM378" s="72"/>
    </row>
    <row r="379" spans="1:39" ht="15.75" customHeight="1" x14ac:dyDescent="0.25">
      <c r="A379" s="59" t="s">
        <v>724</v>
      </c>
      <c r="B379" s="19" t="s">
        <v>544</v>
      </c>
      <c r="C379" s="67"/>
      <c r="D379" s="67"/>
      <c r="E379" s="67"/>
      <c r="F379" s="67" t="s">
        <v>415</v>
      </c>
      <c r="G379" s="21"/>
      <c r="H379" s="69"/>
      <c r="I379" s="70"/>
      <c r="J379" s="68"/>
      <c r="K379" s="68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124"/>
      <c r="AB379" s="73"/>
      <c r="AC379" s="162"/>
      <c r="AD379" s="70"/>
      <c r="AE379" s="71"/>
      <c r="AF379" s="70"/>
      <c r="AG379" s="154"/>
      <c r="AH379" s="74"/>
      <c r="AI379" s="70"/>
      <c r="AJ379" s="69"/>
      <c r="AK379" s="162"/>
      <c r="AL379" s="70"/>
      <c r="AM379" s="72"/>
    </row>
    <row r="380" spans="1:39" ht="15.75" customHeight="1" x14ac:dyDescent="0.25">
      <c r="A380" s="59" t="s">
        <v>724</v>
      </c>
      <c r="B380" s="282" t="s">
        <v>545</v>
      </c>
      <c r="C380" s="33"/>
      <c r="D380" s="33"/>
      <c r="E380" s="33"/>
      <c r="F380" s="33"/>
      <c r="G380" s="11">
        <v>18</v>
      </c>
      <c r="H380" s="57">
        <v>43101</v>
      </c>
      <c r="I380" s="49">
        <v>881652</v>
      </c>
      <c r="J380" s="53">
        <v>989230</v>
      </c>
      <c r="K380" s="53">
        <v>989230</v>
      </c>
      <c r="L380" s="57">
        <v>43392</v>
      </c>
      <c r="M380" s="49">
        <v>90</v>
      </c>
      <c r="N380" s="57">
        <f>L380+M380</f>
        <v>43482</v>
      </c>
      <c r="O380" s="11" t="s">
        <v>497</v>
      </c>
      <c r="P380" s="49">
        <v>895674</v>
      </c>
      <c r="Q380" s="11" t="s">
        <v>497</v>
      </c>
      <c r="R380" s="49">
        <v>895674</v>
      </c>
      <c r="S380" s="49"/>
      <c r="T380" s="49"/>
      <c r="U380" s="49"/>
      <c r="V380" s="49"/>
      <c r="W380" s="49"/>
      <c r="X380" s="49"/>
      <c r="Y380" s="49"/>
      <c r="Z380" s="49">
        <v>147597</v>
      </c>
      <c r="AA380" s="122">
        <v>1290676</v>
      </c>
      <c r="AB380" s="50">
        <v>43444</v>
      </c>
      <c r="AC380" s="156">
        <v>12150</v>
      </c>
      <c r="AD380" s="49" t="s">
        <v>546</v>
      </c>
      <c r="AE380" s="56">
        <v>888183</v>
      </c>
      <c r="AF380" s="57">
        <v>43399</v>
      </c>
      <c r="AG380" s="152">
        <v>989230</v>
      </c>
      <c r="AH380" s="35" t="s">
        <v>547</v>
      </c>
      <c r="AI380" s="49">
        <v>1921456</v>
      </c>
      <c r="AJ380" s="57">
        <v>43465</v>
      </c>
      <c r="AK380" s="156">
        <v>30086</v>
      </c>
      <c r="AL380" s="49"/>
      <c r="AM380" s="36" t="s">
        <v>548</v>
      </c>
    </row>
    <row r="381" spans="1:39" ht="15.75" customHeight="1" x14ac:dyDescent="0.25">
      <c r="A381" s="59" t="s">
        <v>724</v>
      </c>
      <c r="B381" s="283"/>
      <c r="C381" s="7"/>
      <c r="D381" s="7"/>
      <c r="E381" s="7"/>
      <c r="F381" s="7"/>
      <c r="G381" s="26"/>
      <c r="H381" s="59"/>
      <c r="J381" s="39"/>
      <c r="K381" s="39"/>
      <c r="Z381" s="58">
        <v>147114</v>
      </c>
      <c r="AA381" s="64">
        <v>1290707</v>
      </c>
      <c r="AB381" s="38">
        <v>43434</v>
      </c>
      <c r="AC381" s="157">
        <v>714080</v>
      </c>
      <c r="AE381" s="42"/>
      <c r="AG381" s="155"/>
      <c r="AH381" s="169" t="s">
        <v>549</v>
      </c>
      <c r="AI381" s="58">
        <v>1921472</v>
      </c>
      <c r="AJ381" s="59">
        <v>43465</v>
      </c>
      <c r="AK381" s="157">
        <v>959144</v>
      </c>
      <c r="AM381" s="40" t="s">
        <v>548</v>
      </c>
    </row>
    <row r="382" spans="1:39" ht="15.75" customHeight="1" x14ac:dyDescent="0.25">
      <c r="A382" s="59" t="s">
        <v>724</v>
      </c>
      <c r="B382" s="284"/>
      <c r="C382" s="43"/>
      <c r="D382" s="43"/>
      <c r="E382" s="43"/>
      <c r="F382" s="43"/>
      <c r="G382" s="14"/>
      <c r="H382" s="75"/>
      <c r="I382" s="44"/>
      <c r="J382" s="45"/>
      <c r="K382" s="45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>
        <v>145429</v>
      </c>
      <c r="AA382" s="121">
        <v>1290738</v>
      </c>
      <c r="AB382" s="47">
        <v>43404</v>
      </c>
      <c r="AC382" s="158">
        <v>263000</v>
      </c>
      <c r="AD382" s="44"/>
      <c r="AE382" s="46"/>
      <c r="AF382" s="44"/>
      <c r="AG382" s="153"/>
      <c r="AH382" s="55"/>
      <c r="AI382" s="44"/>
      <c r="AJ382" s="75"/>
      <c r="AK382" s="158"/>
      <c r="AL382" s="44"/>
      <c r="AM382" s="48"/>
    </row>
    <row r="383" spans="1:39" ht="15.75" customHeight="1" x14ac:dyDescent="0.25">
      <c r="A383" s="59" t="s">
        <v>724</v>
      </c>
      <c r="B383" s="66" t="s">
        <v>550</v>
      </c>
      <c r="C383" s="67"/>
      <c r="D383" s="67"/>
      <c r="E383" s="67"/>
      <c r="F383" s="67"/>
      <c r="G383" s="21">
        <v>11</v>
      </c>
      <c r="H383" s="69">
        <v>43101</v>
      </c>
      <c r="I383" s="70">
        <v>216249</v>
      </c>
      <c r="J383" s="68">
        <v>7800</v>
      </c>
      <c r="K383" s="68">
        <v>7800</v>
      </c>
      <c r="L383" s="69">
        <v>43272</v>
      </c>
      <c r="M383" s="70">
        <v>90</v>
      </c>
      <c r="N383" s="69">
        <f>L383+M383</f>
        <v>43362</v>
      </c>
      <c r="O383" s="21" t="s">
        <v>497</v>
      </c>
      <c r="P383" s="70">
        <v>895717</v>
      </c>
      <c r="Q383" s="21" t="s">
        <v>497</v>
      </c>
      <c r="R383" s="70">
        <v>895717</v>
      </c>
      <c r="S383" s="70"/>
      <c r="T383" s="70"/>
      <c r="U383" s="70"/>
      <c r="V383" s="70"/>
      <c r="W383" s="70"/>
      <c r="X383" s="70"/>
      <c r="Y383" s="70"/>
      <c r="Z383" s="70">
        <v>119152</v>
      </c>
      <c r="AA383" s="124">
        <v>924878</v>
      </c>
      <c r="AB383" s="73">
        <v>43375</v>
      </c>
      <c r="AC383" s="162">
        <v>7800</v>
      </c>
      <c r="AD383" s="70" t="s">
        <v>551</v>
      </c>
      <c r="AE383" s="71">
        <v>990090</v>
      </c>
      <c r="AF383" s="69">
        <v>43297</v>
      </c>
      <c r="AG383" s="154">
        <v>7800</v>
      </c>
      <c r="AH383" s="74" t="s">
        <v>552</v>
      </c>
      <c r="AI383" s="70">
        <v>1144530</v>
      </c>
      <c r="AJ383" s="69">
        <v>43433</v>
      </c>
      <c r="AK383" s="162">
        <v>7800</v>
      </c>
      <c r="AL383" s="70"/>
      <c r="AM383" s="72" t="s">
        <v>548</v>
      </c>
    </row>
    <row r="384" spans="1:39" ht="15.75" customHeight="1" x14ac:dyDescent="0.25">
      <c r="A384" s="59" t="s">
        <v>724</v>
      </c>
      <c r="B384" s="282" t="s">
        <v>553</v>
      </c>
      <c r="C384" s="33"/>
      <c r="D384" s="33"/>
      <c r="E384" s="33"/>
      <c r="F384" s="33"/>
      <c r="G384" s="11">
        <v>15</v>
      </c>
      <c r="H384" s="57">
        <v>43466</v>
      </c>
      <c r="I384" s="49">
        <v>3860578</v>
      </c>
      <c r="J384" s="53">
        <v>1591072.8</v>
      </c>
      <c r="K384" s="53">
        <v>1591072.8</v>
      </c>
      <c r="L384" s="57">
        <v>43768</v>
      </c>
      <c r="M384" s="49">
        <v>120</v>
      </c>
      <c r="N384" s="57">
        <f>L384+M384</f>
        <v>43888</v>
      </c>
      <c r="O384" s="35" t="s">
        <v>494</v>
      </c>
      <c r="P384" s="49">
        <v>4235915</v>
      </c>
      <c r="Q384" s="35" t="s">
        <v>494</v>
      </c>
      <c r="R384" s="49">
        <v>4235915</v>
      </c>
      <c r="S384" s="49"/>
      <c r="T384" s="49"/>
      <c r="U384" s="49"/>
      <c r="V384" s="49"/>
      <c r="W384" s="49">
        <v>4418880</v>
      </c>
      <c r="X384" s="49" t="s">
        <v>554</v>
      </c>
      <c r="Y384" s="49"/>
      <c r="Z384" s="49">
        <v>22698</v>
      </c>
      <c r="AA384" s="122">
        <v>4246567</v>
      </c>
      <c r="AB384" s="50">
        <v>43809</v>
      </c>
      <c r="AC384" s="156">
        <v>1457746.6</v>
      </c>
      <c r="AD384" s="49" t="s">
        <v>555</v>
      </c>
      <c r="AE384" s="56">
        <v>3912497</v>
      </c>
      <c r="AF384" s="57">
        <v>43782</v>
      </c>
      <c r="AG384" s="152">
        <v>1457746.6</v>
      </c>
      <c r="AH384" s="35" t="s">
        <v>556</v>
      </c>
      <c r="AI384" s="49">
        <v>4320141</v>
      </c>
      <c r="AJ384" s="57">
        <v>43818</v>
      </c>
      <c r="AK384" s="156">
        <v>1591072.8</v>
      </c>
      <c r="AL384" s="49"/>
      <c r="AM384" s="36" t="s">
        <v>53</v>
      </c>
    </row>
    <row r="385" spans="1:39" ht="15.75" customHeight="1" x14ac:dyDescent="0.25">
      <c r="A385" s="59" t="s">
        <v>724</v>
      </c>
      <c r="B385" s="284"/>
      <c r="C385" s="43"/>
      <c r="D385" s="43"/>
      <c r="E385" s="43"/>
      <c r="F385" s="43"/>
      <c r="G385" s="14"/>
      <c r="H385" s="75"/>
      <c r="I385" s="44"/>
      <c r="J385" s="45"/>
      <c r="K385" s="45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>
        <v>22699</v>
      </c>
      <c r="AA385" s="121">
        <v>4246615</v>
      </c>
      <c r="AB385" s="47">
        <v>43809</v>
      </c>
      <c r="AC385" s="158">
        <v>133326.20000000001</v>
      </c>
      <c r="AD385" s="44" t="s">
        <v>557</v>
      </c>
      <c r="AE385" s="46">
        <v>3912534</v>
      </c>
      <c r="AF385" s="75">
        <v>43782</v>
      </c>
      <c r="AG385" s="153">
        <v>133326.20000000001</v>
      </c>
      <c r="AH385" s="55"/>
      <c r="AI385" s="44"/>
      <c r="AJ385" s="75"/>
      <c r="AK385" s="158"/>
      <c r="AL385" s="44"/>
      <c r="AM385" s="48"/>
    </row>
    <row r="386" spans="1:39" ht="15.75" customHeight="1" x14ac:dyDescent="0.25">
      <c r="A386" s="59" t="s">
        <v>726</v>
      </c>
      <c r="B386" s="282" t="s">
        <v>558</v>
      </c>
      <c r="C386" s="33"/>
      <c r="D386" s="33"/>
      <c r="E386" s="33"/>
      <c r="F386" s="33"/>
      <c r="G386" s="11">
        <v>3</v>
      </c>
      <c r="H386" s="57">
        <v>43466</v>
      </c>
      <c r="I386" s="49">
        <v>1829104</v>
      </c>
      <c r="J386" s="53">
        <v>159000</v>
      </c>
      <c r="K386" s="53">
        <v>1908000</v>
      </c>
      <c r="L386" s="57">
        <v>43515</v>
      </c>
      <c r="M386" s="49">
        <v>90</v>
      </c>
      <c r="N386" s="57">
        <f>L386+M386</f>
        <v>43605</v>
      </c>
      <c r="O386" s="11" t="s">
        <v>262</v>
      </c>
      <c r="P386" s="49">
        <v>2748629</v>
      </c>
      <c r="Q386" s="11" t="s">
        <v>262</v>
      </c>
      <c r="R386" s="49">
        <v>2748629</v>
      </c>
      <c r="S386" s="49"/>
      <c r="T386" s="49"/>
      <c r="U386" s="49">
        <v>4251885</v>
      </c>
      <c r="V386" s="49"/>
      <c r="W386" s="49"/>
      <c r="X386" s="49"/>
      <c r="Y386" s="49"/>
      <c r="Z386" s="49">
        <v>3429</v>
      </c>
      <c r="AA386" s="122">
        <v>5359190</v>
      </c>
      <c r="AB386" s="50">
        <v>43865</v>
      </c>
      <c r="AC386" s="156">
        <v>15900</v>
      </c>
      <c r="AD386" s="49" t="s">
        <v>559</v>
      </c>
      <c r="AE386" s="56">
        <v>2046087</v>
      </c>
      <c r="AF386" s="57">
        <v>43578</v>
      </c>
      <c r="AG386" s="152">
        <v>1590000</v>
      </c>
      <c r="AH386" s="169" t="s">
        <v>560</v>
      </c>
      <c r="AI386" s="58">
        <v>4842716</v>
      </c>
      <c r="AJ386" s="59">
        <v>43818</v>
      </c>
      <c r="AK386" s="157">
        <v>402800</v>
      </c>
      <c r="AM386" s="243" t="s">
        <v>50</v>
      </c>
    </row>
    <row r="387" spans="1:39" ht="15.75" customHeight="1" x14ac:dyDescent="0.25">
      <c r="A387" s="59" t="s">
        <v>726</v>
      </c>
      <c r="B387" s="283"/>
      <c r="C387" s="7"/>
      <c r="D387" s="7"/>
      <c r="E387" s="7"/>
      <c r="F387" s="7"/>
      <c r="G387" s="26"/>
      <c r="H387" s="59"/>
      <c r="J387" s="39"/>
      <c r="K387" s="39"/>
      <c r="Z387" s="58">
        <v>3430</v>
      </c>
      <c r="AA387" s="64">
        <v>5359190</v>
      </c>
      <c r="AB387" s="38">
        <v>43865</v>
      </c>
      <c r="AC387" s="157">
        <v>15900</v>
      </c>
      <c r="AD387" s="58" t="s">
        <v>561</v>
      </c>
      <c r="AE387" s="42">
        <v>3108038</v>
      </c>
      <c r="AF387" s="59">
        <v>43696</v>
      </c>
      <c r="AG387" s="155">
        <v>1590000</v>
      </c>
      <c r="AH387" s="169" t="s">
        <v>562</v>
      </c>
      <c r="AI387" s="58">
        <v>4842781</v>
      </c>
      <c r="AJ387" s="59">
        <v>43818</v>
      </c>
      <c r="AK387" s="157">
        <v>111300</v>
      </c>
      <c r="AM387" s="165" t="s">
        <v>50</v>
      </c>
    </row>
    <row r="388" spans="1:39" ht="15.75" customHeight="1" x14ac:dyDescent="0.25">
      <c r="A388" s="59" t="s">
        <v>726</v>
      </c>
      <c r="B388" s="283"/>
      <c r="C388" s="7"/>
      <c r="D388" s="7"/>
      <c r="E388" s="7"/>
      <c r="F388" s="7"/>
      <c r="G388" s="26"/>
      <c r="H388" s="59"/>
      <c r="J388" s="39"/>
      <c r="K388" s="39"/>
      <c r="Z388" s="58">
        <v>3431</v>
      </c>
      <c r="AA388" s="64">
        <v>5359190</v>
      </c>
      <c r="AB388" s="38">
        <v>43865</v>
      </c>
      <c r="AC388" s="157">
        <v>15900</v>
      </c>
      <c r="AD388" s="58" t="s">
        <v>563</v>
      </c>
      <c r="AE388" s="42">
        <v>5349686</v>
      </c>
      <c r="AF388" s="59">
        <v>43943</v>
      </c>
      <c r="AG388" s="155">
        <v>773800</v>
      </c>
      <c r="AH388" s="169" t="s">
        <v>564</v>
      </c>
      <c r="AI388" s="58">
        <v>4842820</v>
      </c>
      <c r="AJ388" s="59">
        <v>43860</v>
      </c>
      <c r="AK388" s="157">
        <v>143100</v>
      </c>
      <c r="AM388" s="165" t="s">
        <v>50</v>
      </c>
    </row>
    <row r="389" spans="1:39" ht="15.75" customHeight="1" x14ac:dyDescent="0.25">
      <c r="A389" s="59" t="s">
        <v>724</v>
      </c>
      <c r="B389" s="283"/>
      <c r="C389" s="7"/>
      <c r="D389" s="7"/>
      <c r="E389" s="7"/>
      <c r="F389" s="7"/>
      <c r="G389" s="26"/>
      <c r="H389" s="59"/>
      <c r="J389" s="39"/>
      <c r="K389" s="39"/>
      <c r="Z389" s="58">
        <v>3432</v>
      </c>
      <c r="AA389" s="64">
        <v>5359190</v>
      </c>
      <c r="AB389" s="38">
        <v>43865</v>
      </c>
      <c r="AC389" s="157">
        <v>15900</v>
      </c>
      <c r="AD389" s="58" t="s">
        <v>565</v>
      </c>
      <c r="AE389" s="42">
        <v>5476005</v>
      </c>
      <c r="AF389" s="59">
        <v>43956</v>
      </c>
      <c r="AG389" s="155">
        <v>773800</v>
      </c>
      <c r="AH389" s="169" t="s">
        <v>567</v>
      </c>
      <c r="AI389" s="58">
        <v>5510757</v>
      </c>
      <c r="AJ389" s="59">
        <v>43958</v>
      </c>
      <c r="AK389" s="157">
        <v>159000</v>
      </c>
      <c r="AM389" s="165" t="s">
        <v>53</v>
      </c>
    </row>
    <row r="390" spans="1:39" ht="15.75" customHeight="1" x14ac:dyDescent="0.25">
      <c r="A390" s="59" t="s">
        <v>724</v>
      </c>
      <c r="B390" s="283"/>
      <c r="C390" s="7"/>
      <c r="D390" s="7"/>
      <c r="E390" s="7"/>
      <c r="F390" s="7"/>
      <c r="G390" s="26"/>
      <c r="H390" s="59"/>
      <c r="J390" s="39"/>
      <c r="K390" s="39"/>
      <c r="Z390" s="58">
        <v>3433</v>
      </c>
      <c r="AA390" s="64">
        <v>5359190</v>
      </c>
      <c r="AB390" s="38">
        <v>43865</v>
      </c>
      <c r="AC390" s="157">
        <v>15900</v>
      </c>
      <c r="AD390" s="58" t="s">
        <v>566</v>
      </c>
      <c r="AE390" s="42">
        <v>6009747</v>
      </c>
      <c r="AF390" s="59">
        <v>44008</v>
      </c>
      <c r="AG390" s="155">
        <v>477000</v>
      </c>
      <c r="AH390" s="169" t="s">
        <v>568</v>
      </c>
      <c r="AI390" s="58">
        <v>5510757</v>
      </c>
      <c r="AJ390" s="59">
        <v>43958</v>
      </c>
      <c r="AK390" s="157">
        <v>159000</v>
      </c>
      <c r="AM390" s="165" t="s">
        <v>53</v>
      </c>
    </row>
    <row r="391" spans="1:39" ht="15.75" customHeight="1" x14ac:dyDescent="0.25">
      <c r="A391" s="59" t="s">
        <v>724</v>
      </c>
      <c r="B391" s="283"/>
      <c r="C391" s="7"/>
      <c r="D391" s="7"/>
      <c r="E391" s="7"/>
      <c r="F391" s="7"/>
      <c r="G391" s="26"/>
      <c r="H391" s="59"/>
      <c r="J391" s="39"/>
      <c r="K391" s="39"/>
      <c r="Z391" s="58">
        <v>3434</v>
      </c>
      <c r="AA391" s="64">
        <v>5359190</v>
      </c>
      <c r="AB391" s="38">
        <v>43865</v>
      </c>
      <c r="AC391" s="157">
        <v>15900</v>
      </c>
      <c r="AE391" s="42"/>
      <c r="AG391" s="155"/>
      <c r="AH391" s="169" t="s">
        <v>569</v>
      </c>
      <c r="AI391" s="58">
        <v>5510757</v>
      </c>
      <c r="AJ391" s="59">
        <v>43958</v>
      </c>
      <c r="AK391" s="157">
        <v>44026</v>
      </c>
      <c r="AM391" s="165" t="s">
        <v>50</v>
      </c>
    </row>
    <row r="392" spans="1:39" ht="15.75" customHeight="1" x14ac:dyDescent="0.25">
      <c r="A392" s="59" t="s">
        <v>724</v>
      </c>
      <c r="B392" s="283"/>
      <c r="C392" s="7"/>
      <c r="D392" s="7"/>
      <c r="E392" s="7"/>
      <c r="F392" s="7"/>
      <c r="G392" s="26"/>
      <c r="H392" s="59"/>
      <c r="J392" s="39"/>
      <c r="K392" s="39"/>
      <c r="Z392" s="58">
        <v>3435</v>
      </c>
      <c r="AA392" s="64">
        <v>5359190</v>
      </c>
      <c r="AB392" s="38">
        <v>43865</v>
      </c>
      <c r="AC392" s="157">
        <v>15900</v>
      </c>
      <c r="AE392" s="42"/>
      <c r="AG392" s="155"/>
      <c r="AH392" s="169" t="s">
        <v>570</v>
      </c>
      <c r="AI392" s="58">
        <v>5510757</v>
      </c>
      <c r="AJ392" s="59">
        <v>43958</v>
      </c>
      <c r="AK392" s="157">
        <v>114974</v>
      </c>
      <c r="AM392" s="165" t="s">
        <v>53</v>
      </c>
    </row>
    <row r="393" spans="1:39" ht="15.75" customHeight="1" x14ac:dyDescent="0.25">
      <c r="A393" s="59" t="s">
        <v>724</v>
      </c>
      <c r="B393" s="283"/>
      <c r="C393" s="7"/>
      <c r="D393" s="7"/>
      <c r="E393" s="7"/>
      <c r="F393" s="7"/>
      <c r="G393" s="26"/>
      <c r="H393" s="59"/>
      <c r="J393" s="39"/>
      <c r="K393" s="39"/>
      <c r="Z393" s="58">
        <v>3436</v>
      </c>
      <c r="AA393" s="64">
        <v>5359190</v>
      </c>
      <c r="AB393" s="38">
        <v>43865</v>
      </c>
      <c r="AC393" s="157">
        <v>15900</v>
      </c>
      <c r="AE393" s="42"/>
      <c r="AG393" s="155"/>
      <c r="AH393" s="169" t="s">
        <v>571</v>
      </c>
      <c r="AI393" s="58">
        <v>6322470</v>
      </c>
      <c r="AJ393" s="59">
        <v>44029</v>
      </c>
      <c r="AK393" s="157">
        <v>149000</v>
      </c>
      <c r="AM393" s="165" t="s">
        <v>50</v>
      </c>
    </row>
    <row r="394" spans="1:39" ht="15.75" customHeight="1" x14ac:dyDescent="0.25">
      <c r="A394" s="59" t="s">
        <v>724</v>
      </c>
      <c r="B394" s="283"/>
      <c r="C394" s="7"/>
      <c r="D394" s="7"/>
      <c r="E394" s="7"/>
      <c r="F394" s="7"/>
      <c r="G394" s="26"/>
      <c r="H394" s="59"/>
      <c r="J394" s="39"/>
      <c r="K394" s="39"/>
      <c r="Z394" s="58">
        <v>3437</v>
      </c>
      <c r="AA394" s="64">
        <v>5359190</v>
      </c>
      <c r="AB394" s="38">
        <v>43865</v>
      </c>
      <c r="AC394" s="157">
        <v>15900</v>
      </c>
      <c r="AE394" s="42"/>
      <c r="AG394" s="155"/>
      <c r="AH394" s="169" t="s">
        <v>572</v>
      </c>
      <c r="AI394" s="58">
        <v>6322470</v>
      </c>
      <c r="AJ394" s="59">
        <v>44029</v>
      </c>
      <c r="AK394" s="157">
        <v>149000</v>
      </c>
      <c r="AM394" s="165" t="s">
        <v>50</v>
      </c>
    </row>
    <row r="395" spans="1:39" ht="15.75" customHeight="1" x14ac:dyDescent="0.25">
      <c r="A395" s="59" t="s">
        <v>724</v>
      </c>
      <c r="B395" s="283"/>
      <c r="C395" s="7"/>
      <c r="D395" s="7"/>
      <c r="E395" s="7"/>
      <c r="F395" s="7"/>
      <c r="G395" s="26"/>
      <c r="H395" s="59"/>
      <c r="J395" s="39"/>
      <c r="K395" s="39"/>
      <c r="Z395" s="58">
        <v>3438</v>
      </c>
      <c r="AA395" s="64">
        <v>5359190</v>
      </c>
      <c r="AB395" s="38">
        <v>43865</v>
      </c>
      <c r="AC395" s="157">
        <v>15900</v>
      </c>
      <c r="AE395" s="42"/>
      <c r="AG395" s="155"/>
      <c r="AH395" s="169" t="s">
        <v>573</v>
      </c>
      <c r="AI395" s="58">
        <v>10452305</v>
      </c>
      <c r="AJ395" s="59">
        <v>44335</v>
      </c>
      <c r="AK395" s="157">
        <v>44026</v>
      </c>
      <c r="AM395" s="227" t="s">
        <v>50</v>
      </c>
    </row>
    <row r="396" spans="1:39" ht="15.75" customHeight="1" x14ac:dyDescent="0.25">
      <c r="A396" s="59" t="s">
        <v>724</v>
      </c>
      <c r="B396" s="283"/>
      <c r="C396" s="7"/>
      <c r="D396" s="7"/>
      <c r="E396" s="7"/>
      <c r="F396" s="7"/>
      <c r="G396" s="26"/>
      <c r="H396" s="59"/>
      <c r="J396" s="39"/>
      <c r="K396" s="39"/>
      <c r="Z396" s="58">
        <v>3522</v>
      </c>
      <c r="AA396" s="64">
        <v>5359253</v>
      </c>
      <c r="AB396" s="38">
        <v>43893</v>
      </c>
      <c r="AC396" s="157">
        <v>15900</v>
      </c>
      <c r="AE396" s="42"/>
      <c r="AG396" s="155"/>
      <c r="AH396" s="169" t="s">
        <v>574</v>
      </c>
      <c r="AI396" s="58">
        <v>10452305</v>
      </c>
      <c r="AJ396" s="59">
        <v>44335</v>
      </c>
      <c r="AK396" s="157">
        <v>45374</v>
      </c>
      <c r="AM396" s="165" t="s">
        <v>53</v>
      </c>
    </row>
    <row r="397" spans="1:39" ht="15.75" customHeight="1" x14ac:dyDescent="0.25">
      <c r="A397" s="59" t="s">
        <v>724</v>
      </c>
      <c r="B397" s="283"/>
      <c r="C397" s="7"/>
      <c r="D397" s="7"/>
      <c r="E397" s="7"/>
      <c r="F397" s="7"/>
      <c r="G397" s="26"/>
      <c r="H397" s="59"/>
      <c r="J397" s="39"/>
      <c r="K397" s="39"/>
      <c r="Z397" s="58">
        <v>3523</v>
      </c>
      <c r="AA397" s="64">
        <v>5359253</v>
      </c>
      <c r="AB397" s="38">
        <v>43893</v>
      </c>
      <c r="AC397" s="157">
        <v>15900</v>
      </c>
      <c r="AE397" s="42"/>
      <c r="AG397" s="155"/>
      <c r="AH397" s="169" t="s">
        <v>575</v>
      </c>
      <c r="AI397" s="58">
        <v>10452305</v>
      </c>
      <c r="AJ397" s="59">
        <v>44335</v>
      </c>
      <c r="AK397" s="157">
        <v>29800</v>
      </c>
      <c r="AM397" s="165" t="s">
        <v>53</v>
      </c>
    </row>
    <row r="398" spans="1:39" ht="15.75" customHeight="1" x14ac:dyDescent="0.25">
      <c r="A398" s="59" t="s">
        <v>724</v>
      </c>
      <c r="B398" s="283"/>
      <c r="C398" s="7"/>
      <c r="D398" s="7"/>
      <c r="E398" s="7"/>
      <c r="F398" s="7"/>
      <c r="G398" s="26"/>
      <c r="H398" s="59"/>
      <c r="J398" s="39"/>
      <c r="K398" s="39"/>
      <c r="Z398" s="58">
        <v>3524</v>
      </c>
      <c r="AA398" s="64">
        <v>5359253</v>
      </c>
      <c r="AB398" s="38">
        <v>43893</v>
      </c>
      <c r="AC398" s="157">
        <v>15900</v>
      </c>
      <c r="AE398" s="42"/>
      <c r="AG398" s="155"/>
      <c r="AM398" s="244"/>
    </row>
    <row r="399" spans="1:39" ht="15.75" customHeight="1" x14ac:dyDescent="0.25">
      <c r="A399" s="59" t="s">
        <v>724</v>
      </c>
      <c r="B399" s="283"/>
      <c r="C399" s="7"/>
      <c r="D399" s="7"/>
      <c r="E399" s="7"/>
      <c r="F399" s="7"/>
      <c r="G399" s="26"/>
      <c r="H399" s="59"/>
      <c r="J399" s="39"/>
      <c r="K399" s="39"/>
      <c r="Z399" s="58">
        <v>3525</v>
      </c>
      <c r="AA399" s="64">
        <v>5359253</v>
      </c>
      <c r="AB399" s="38">
        <v>43893</v>
      </c>
      <c r="AC399" s="157">
        <v>15900</v>
      </c>
      <c r="AE399" s="42"/>
      <c r="AG399" s="155"/>
      <c r="AM399" s="244"/>
    </row>
    <row r="400" spans="1:39" ht="15.75" customHeight="1" x14ac:dyDescent="0.25">
      <c r="A400" s="59" t="s">
        <v>724</v>
      </c>
      <c r="B400" s="283"/>
      <c r="C400" s="7"/>
      <c r="D400" s="7"/>
      <c r="E400" s="7"/>
      <c r="F400" s="7"/>
      <c r="G400" s="26"/>
      <c r="H400" s="59"/>
      <c r="J400" s="39"/>
      <c r="K400" s="39"/>
      <c r="Z400" s="58">
        <v>3526</v>
      </c>
      <c r="AA400" s="64">
        <v>5359253</v>
      </c>
      <c r="AB400" s="38">
        <v>43893</v>
      </c>
      <c r="AC400" s="157">
        <v>15900</v>
      </c>
      <c r="AE400" s="42"/>
      <c r="AG400" s="155"/>
      <c r="AM400" s="244"/>
    </row>
    <row r="401" spans="1:39" ht="15.75" customHeight="1" x14ac:dyDescent="0.25">
      <c r="A401" s="59" t="s">
        <v>724</v>
      </c>
      <c r="B401" s="283"/>
      <c r="C401" s="7"/>
      <c r="D401" s="7"/>
      <c r="E401" s="7"/>
      <c r="F401" s="7"/>
      <c r="G401" s="26"/>
      <c r="H401" s="59"/>
      <c r="J401" s="39"/>
      <c r="K401" s="39"/>
      <c r="Z401" s="58">
        <v>3527</v>
      </c>
      <c r="AA401" s="64">
        <v>5359253</v>
      </c>
      <c r="AB401" s="38">
        <v>43893</v>
      </c>
      <c r="AC401" s="157">
        <v>15900</v>
      </c>
      <c r="AE401" s="42"/>
      <c r="AG401" s="155"/>
      <c r="AJ401" s="123"/>
      <c r="AK401" s="157"/>
      <c r="AM401" s="40"/>
    </row>
    <row r="402" spans="1:39" ht="15.75" customHeight="1" x14ac:dyDescent="0.25">
      <c r="A402" s="59" t="s">
        <v>724</v>
      </c>
      <c r="B402" s="283"/>
      <c r="C402" s="7"/>
      <c r="D402" s="7"/>
      <c r="E402" s="7"/>
      <c r="F402" s="7"/>
      <c r="G402" s="26"/>
      <c r="H402" s="59"/>
      <c r="J402" s="39"/>
      <c r="K402" s="39"/>
      <c r="Z402" s="58">
        <v>3528</v>
      </c>
      <c r="AA402" s="64">
        <v>5359253</v>
      </c>
      <c r="AB402" s="38">
        <v>43893</v>
      </c>
      <c r="AC402" s="157">
        <v>15900</v>
      </c>
      <c r="AE402" s="42"/>
      <c r="AG402" s="155"/>
      <c r="AJ402" s="123"/>
      <c r="AK402" s="157"/>
      <c r="AM402" s="40"/>
    </row>
    <row r="403" spans="1:39" ht="15.75" customHeight="1" x14ac:dyDescent="0.25">
      <c r="A403" s="59" t="s">
        <v>724</v>
      </c>
      <c r="B403" s="283"/>
      <c r="C403" s="7"/>
      <c r="D403" s="7"/>
      <c r="E403" s="7"/>
      <c r="F403" s="7"/>
      <c r="G403" s="26"/>
      <c r="H403" s="59"/>
      <c r="J403" s="39"/>
      <c r="K403" s="39"/>
      <c r="Z403" s="58">
        <v>3529</v>
      </c>
      <c r="AA403" s="64">
        <v>5359253</v>
      </c>
      <c r="AB403" s="38">
        <v>43893</v>
      </c>
      <c r="AC403" s="157">
        <v>15900</v>
      </c>
      <c r="AE403" s="42"/>
      <c r="AG403" s="155"/>
      <c r="AJ403" s="123"/>
      <c r="AK403" s="157"/>
      <c r="AM403" s="40"/>
    </row>
    <row r="404" spans="1:39" ht="15.75" customHeight="1" x14ac:dyDescent="0.25">
      <c r="A404" s="59" t="s">
        <v>724</v>
      </c>
      <c r="B404" s="283"/>
      <c r="C404" s="7"/>
      <c r="D404" s="7"/>
      <c r="E404" s="7"/>
      <c r="F404" s="7"/>
      <c r="G404" s="26"/>
      <c r="H404" s="59"/>
      <c r="J404" s="39"/>
      <c r="K404" s="39"/>
      <c r="Z404" s="58">
        <v>3530</v>
      </c>
      <c r="AA404" s="64">
        <v>5359253</v>
      </c>
      <c r="AB404" s="38">
        <v>43893</v>
      </c>
      <c r="AC404" s="157">
        <v>15900</v>
      </c>
      <c r="AE404" s="42"/>
      <c r="AG404" s="155"/>
      <c r="AJ404" s="123"/>
      <c r="AK404" s="157"/>
      <c r="AM404" s="40"/>
    </row>
    <row r="405" spans="1:39" ht="15.75" customHeight="1" x14ac:dyDescent="0.25">
      <c r="A405" s="59" t="s">
        <v>724</v>
      </c>
      <c r="B405" s="283"/>
      <c r="C405" s="7"/>
      <c r="D405" s="7"/>
      <c r="E405" s="7"/>
      <c r="F405" s="7"/>
      <c r="G405" s="26"/>
      <c r="H405" s="59"/>
      <c r="J405" s="39"/>
      <c r="K405" s="39"/>
      <c r="Z405" s="58">
        <v>3531</v>
      </c>
      <c r="AA405" s="64">
        <v>5359253</v>
      </c>
      <c r="AB405" s="38">
        <v>43893</v>
      </c>
      <c r="AC405" s="157">
        <v>15900</v>
      </c>
      <c r="AE405" s="42"/>
      <c r="AG405" s="155"/>
      <c r="AJ405" s="123"/>
      <c r="AK405" s="157"/>
      <c r="AM405" s="40"/>
    </row>
    <row r="406" spans="1:39" ht="15.75" customHeight="1" x14ac:dyDescent="0.25">
      <c r="A406" s="59" t="s">
        <v>724</v>
      </c>
      <c r="B406" s="283"/>
      <c r="C406" s="7"/>
      <c r="D406" s="7"/>
      <c r="E406" s="7"/>
      <c r="F406" s="7"/>
      <c r="G406" s="26"/>
      <c r="H406" s="59"/>
      <c r="J406" s="39"/>
      <c r="K406" s="39"/>
      <c r="Z406" s="58">
        <v>3700</v>
      </c>
      <c r="AA406" s="64">
        <v>5359346</v>
      </c>
      <c r="AB406" s="38">
        <v>43925</v>
      </c>
      <c r="AC406" s="157">
        <v>15900</v>
      </c>
      <c r="AE406" s="42"/>
      <c r="AG406" s="155"/>
      <c r="AJ406" s="123"/>
      <c r="AK406" s="157"/>
      <c r="AM406" s="40"/>
    </row>
    <row r="407" spans="1:39" ht="15.75" customHeight="1" x14ac:dyDescent="0.25">
      <c r="A407" s="59" t="s">
        <v>724</v>
      </c>
      <c r="B407" s="283"/>
      <c r="C407" s="7"/>
      <c r="D407" s="7"/>
      <c r="E407" s="7"/>
      <c r="F407" s="7"/>
      <c r="G407" s="26"/>
      <c r="H407" s="59"/>
      <c r="J407" s="39"/>
      <c r="K407" s="39"/>
      <c r="Z407" s="58">
        <v>3701</v>
      </c>
      <c r="AA407" s="64">
        <v>5359346</v>
      </c>
      <c r="AB407" s="38">
        <v>43925</v>
      </c>
      <c r="AC407" s="157">
        <v>15900</v>
      </c>
      <c r="AE407" s="42"/>
      <c r="AG407" s="155"/>
      <c r="AJ407" s="123"/>
      <c r="AK407" s="157"/>
      <c r="AM407" s="40"/>
    </row>
    <row r="408" spans="1:39" ht="15.75" customHeight="1" x14ac:dyDescent="0.25">
      <c r="A408" s="59" t="s">
        <v>724</v>
      </c>
      <c r="B408" s="283"/>
      <c r="C408" s="7"/>
      <c r="D408" s="7"/>
      <c r="E408" s="7"/>
      <c r="F408" s="7"/>
      <c r="G408" s="26"/>
      <c r="H408" s="59"/>
      <c r="J408" s="39"/>
      <c r="K408" s="39"/>
      <c r="Z408" s="58">
        <v>3702</v>
      </c>
      <c r="AA408" s="64">
        <v>5359346</v>
      </c>
      <c r="AB408" s="38">
        <v>43925</v>
      </c>
      <c r="AC408" s="157">
        <v>15900</v>
      </c>
      <c r="AE408" s="42"/>
      <c r="AG408" s="155"/>
      <c r="AJ408" s="123"/>
      <c r="AK408" s="157"/>
      <c r="AM408" s="40"/>
    </row>
    <row r="409" spans="1:39" ht="15.75" customHeight="1" x14ac:dyDescent="0.25">
      <c r="A409" s="59" t="s">
        <v>724</v>
      </c>
      <c r="B409" s="283"/>
      <c r="C409" s="7"/>
      <c r="D409" s="7"/>
      <c r="E409" s="7"/>
      <c r="F409" s="7"/>
      <c r="G409" s="26"/>
      <c r="H409" s="59"/>
      <c r="J409" s="39"/>
      <c r="K409" s="39"/>
      <c r="Z409" s="58">
        <v>3703</v>
      </c>
      <c r="AA409" s="64">
        <v>5359346</v>
      </c>
      <c r="AB409" s="38">
        <v>43925</v>
      </c>
      <c r="AC409" s="157">
        <v>15900</v>
      </c>
      <c r="AE409" s="42"/>
      <c r="AG409" s="155"/>
      <c r="AJ409" s="123"/>
      <c r="AK409" s="157"/>
      <c r="AM409" s="40"/>
    </row>
    <row r="410" spans="1:39" ht="15.75" customHeight="1" x14ac:dyDescent="0.25">
      <c r="A410" s="59" t="s">
        <v>724</v>
      </c>
      <c r="B410" s="283"/>
      <c r="C410" s="7"/>
      <c r="D410" s="7"/>
      <c r="E410" s="7"/>
      <c r="F410" s="7"/>
      <c r="G410" s="26"/>
      <c r="H410" s="59"/>
      <c r="J410" s="39"/>
      <c r="K410" s="39"/>
      <c r="Z410" s="58">
        <v>3704</v>
      </c>
      <c r="AA410" s="64">
        <v>5359346</v>
      </c>
      <c r="AB410" s="38">
        <v>43925</v>
      </c>
      <c r="AC410" s="157">
        <v>15900</v>
      </c>
      <c r="AE410" s="42"/>
      <c r="AG410" s="155"/>
      <c r="AJ410" s="123"/>
      <c r="AK410" s="157"/>
      <c r="AM410" s="40"/>
    </row>
    <row r="411" spans="1:39" ht="15.75" customHeight="1" x14ac:dyDescent="0.25">
      <c r="A411" s="59" t="s">
        <v>724</v>
      </c>
      <c r="B411" s="283"/>
      <c r="C411" s="7"/>
      <c r="D411" s="7"/>
      <c r="E411" s="7"/>
      <c r="F411" s="7"/>
      <c r="G411" s="26"/>
      <c r="H411" s="59"/>
      <c r="J411" s="39"/>
      <c r="K411" s="39"/>
      <c r="Z411" s="58">
        <v>3705</v>
      </c>
      <c r="AA411" s="64">
        <v>5359346</v>
      </c>
      <c r="AB411" s="38">
        <v>43925</v>
      </c>
      <c r="AC411" s="157">
        <v>15900</v>
      </c>
      <c r="AE411" s="42"/>
      <c r="AG411" s="155"/>
      <c r="AJ411" s="123"/>
      <c r="AK411" s="157"/>
      <c r="AM411" s="40"/>
    </row>
    <row r="412" spans="1:39" ht="15.75" customHeight="1" x14ac:dyDescent="0.25">
      <c r="A412" s="59" t="s">
        <v>724</v>
      </c>
      <c r="B412" s="283"/>
      <c r="C412" s="7"/>
      <c r="D412" s="7"/>
      <c r="E412" s="7"/>
      <c r="F412" s="7"/>
      <c r="G412" s="26"/>
      <c r="H412" s="59"/>
      <c r="J412" s="39"/>
      <c r="K412" s="39"/>
      <c r="Z412" s="58">
        <v>3706</v>
      </c>
      <c r="AA412" s="64">
        <v>5359346</v>
      </c>
      <c r="AB412" s="38">
        <v>43925</v>
      </c>
      <c r="AC412" s="157">
        <v>15900</v>
      </c>
      <c r="AE412" s="42"/>
      <c r="AG412" s="155"/>
      <c r="AJ412" s="123"/>
      <c r="AK412" s="157"/>
      <c r="AM412" s="40"/>
    </row>
    <row r="413" spans="1:39" ht="15.75" customHeight="1" x14ac:dyDescent="0.25">
      <c r="A413" s="59" t="s">
        <v>724</v>
      </c>
      <c r="B413" s="283"/>
      <c r="C413" s="7"/>
      <c r="D413" s="7"/>
      <c r="E413" s="7"/>
      <c r="F413" s="7"/>
      <c r="G413" s="26"/>
      <c r="H413" s="59"/>
      <c r="J413" s="39"/>
      <c r="K413" s="39"/>
      <c r="Z413" s="58">
        <v>3707</v>
      </c>
      <c r="AA413" s="64">
        <v>5359346</v>
      </c>
      <c r="AB413" s="38">
        <v>43925</v>
      </c>
      <c r="AC413" s="157">
        <v>15900</v>
      </c>
      <c r="AE413" s="42"/>
      <c r="AG413" s="155"/>
      <c r="AJ413" s="123"/>
      <c r="AK413" s="157"/>
      <c r="AM413" s="40"/>
    </row>
    <row r="414" spans="1:39" ht="15.75" customHeight="1" x14ac:dyDescent="0.25">
      <c r="A414" s="59" t="s">
        <v>724</v>
      </c>
      <c r="B414" s="283"/>
      <c r="C414" s="7"/>
      <c r="D414" s="7"/>
      <c r="E414" s="7"/>
      <c r="F414" s="7"/>
      <c r="G414" s="26"/>
      <c r="H414" s="59"/>
      <c r="J414" s="39"/>
      <c r="K414" s="39"/>
      <c r="Z414" s="58">
        <v>3708</v>
      </c>
      <c r="AA414" s="64">
        <v>5359346</v>
      </c>
      <c r="AB414" s="38">
        <v>43925</v>
      </c>
      <c r="AC414" s="157">
        <v>15900</v>
      </c>
      <c r="AE414" s="42"/>
      <c r="AG414" s="155"/>
      <c r="AJ414" s="123"/>
      <c r="AK414" s="157"/>
      <c r="AM414" s="40"/>
    </row>
    <row r="415" spans="1:39" ht="15.75" customHeight="1" x14ac:dyDescent="0.25">
      <c r="A415" s="59" t="s">
        <v>724</v>
      </c>
      <c r="B415" s="283"/>
      <c r="C415" s="7"/>
      <c r="D415" s="7"/>
      <c r="E415" s="7"/>
      <c r="F415" s="7"/>
      <c r="G415" s="26"/>
      <c r="H415" s="59"/>
      <c r="J415" s="39"/>
      <c r="K415" s="39"/>
      <c r="Z415" s="58">
        <v>3709</v>
      </c>
      <c r="AA415" s="64">
        <v>5359346</v>
      </c>
      <c r="AB415" s="38">
        <v>43925</v>
      </c>
      <c r="AC415" s="157">
        <v>15900</v>
      </c>
      <c r="AE415" s="42"/>
      <c r="AG415" s="155"/>
      <c r="AJ415" s="123"/>
      <c r="AK415" s="157"/>
      <c r="AM415" s="40"/>
    </row>
    <row r="416" spans="1:39" ht="15.75" customHeight="1" x14ac:dyDescent="0.25">
      <c r="A416" s="59" t="s">
        <v>724</v>
      </c>
      <c r="B416" s="283"/>
      <c r="C416" s="7"/>
      <c r="D416" s="7"/>
      <c r="E416" s="7"/>
      <c r="F416" s="7"/>
      <c r="G416" s="26"/>
      <c r="H416" s="59"/>
      <c r="J416" s="39"/>
      <c r="K416" s="39"/>
      <c r="Z416" s="58">
        <v>20946</v>
      </c>
      <c r="AA416" s="64">
        <v>6968476</v>
      </c>
      <c r="AB416" s="38">
        <v>43980</v>
      </c>
      <c r="AC416" s="157">
        <v>220010</v>
      </c>
      <c r="AE416" s="42"/>
      <c r="AG416" s="155"/>
      <c r="AJ416" s="123"/>
      <c r="AK416" s="157"/>
      <c r="AM416" s="40"/>
    </row>
    <row r="417" spans="1:39" ht="15.75" customHeight="1" x14ac:dyDescent="0.25">
      <c r="A417" s="59" t="s">
        <v>724</v>
      </c>
      <c r="B417" s="283"/>
      <c r="C417" s="7"/>
      <c r="D417" s="7"/>
      <c r="E417" s="7"/>
      <c r="F417" s="7"/>
      <c r="G417" s="26"/>
      <c r="H417" s="59"/>
      <c r="J417" s="39"/>
      <c r="K417" s="39"/>
      <c r="Z417" s="58">
        <v>20947</v>
      </c>
      <c r="AA417" s="64">
        <v>6968476</v>
      </c>
      <c r="AB417" s="38">
        <v>43980</v>
      </c>
      <c r="AC417" s="157">
        <v>220010</v>
      </c>
      <c r="AE417" s="42"/>
      <c r="AG417" s="155"/>
      <c r="AJ417" s="123"/>
      <c r="AK417" s="157"/>
      <c r="AM417" s="40"/>
    </row>
    <row r="418" spans="1:39" ht="15.75" customHeight="1" x14ac:dyDescent="0.25">
      <c r="A418" s="59" t="s">
        <v>724</v>
      </c>
      <c r="B418" s="283"/>
      <c r="C418" s="7"/>
      <c r="D418" s="7"/>
      <c r="E418" s="7"/>
      <c r="F418" s="7"/>
      <c r="G418" s="26"/>
      <c r="H418" s="59"/>
      <c r="J418" s="39"/>
      <c r="K418" s="39"/>
      <c r="Z418" s="58">
        <v>20948</v>
      </c>
      <c r="AA418" s="64">
        <v>6968476</v>
      </c>
      <c r="AB418" s="38">
        <v>43980</v>
      </c>
      <c r="AC418" s="157">
        <v>220010</v>
      </c>
      <c r="AE418" s="42"/>
      <c r="AG418" s="155"/>
      <c r="AJ418" s="123"/>
      <c r="AK418" s="157"/>
      <c r="AM418" s="40"/>
    </row>
    <row r="419" spans="1:39" ht="15.75" customHeight="1" x14ac:dyDescent="0.25">
      <c r="A419" s="59" t="s">
        <v>724</v>
      </c>
      <c r="B419" s="283"/>
      <c r="C419" s="7"/>
      <c r="D419" s="7"/>
      <c r="E419" s="7"/>
      <c r="F419" s="7"/>
      <c r="G419" s="26"/>
      <c r="H419" s="59"/>
      <c r="J419" s="39"/>
      <c r="K419" s="39"/>
      <c r="Z419" s="58">
        <v>20949</v>
      </c>
      <c r="AA419" s="64">
        <v>6968476</v>
      </c>
      <c r="AB419" s="38">
        <v>43980</v>
      </c>
      <c r="AC419" s="157">
        <v>220010</v>
      </c>
      <c r="AE419" s="42"/>
      <c r="AG419" s="155"/>
      <c r="AJ419" s="123"/>
      <c r="AK419" s="157"/>
      <c r="AM419" s="40"/>
    </row>
    <row r="420" spans="1:39" ht="15.75" customHeight="1" x14ac:dyDescent="0.25">
      <c r="A420" s="59" t="s">
        <v>724</v>
      </c>
      <c r="B420" s="283"/>
      <c r="C420" s="7"/>
      <c r="D420" s="7"/>
      <c r="E420" s="7"/>
      <c r="F420" s="7"/>
      <c r="G420" s="26"/>
      <c r="H420" s="59"/>
      <c r="J420" s="39"/>
      <c r="K420" s="39"/>
      <c r="Z420" s="58">
        <v>21070</v>
      </c>
      <c r="AA420" s="64">
        <v>6968550</v>
      </c>
      <c r="AB420" s="38">
        <v>44006</v>
      </c>
      <c r="AC420" s="157">
        <v>220010</v>
      </c>
      <c r="AE420" s="42"/>
      <c r="AG420" s="155"/>
      <c r="AJ420" s="123"/>
      <c r="AK420" s="157"/>
      <c r="AM420" s="40"/>
    </row>
    <row r="421" spans="1:39" ht="15.75" customHeight="1" x14ac:dyDescent="0.25">
      <c r="A421" s="59" t="s">
        <v>724</v>
      </c>
      <c r="B421" s="283"/>
      <c r="C421" s="7"/>
      <c r="D421" s="7"/>
      <c r="E421" s="7"/>
      <c r="F421" s="7"/>
      <c r="G421" s="26"/>
      <c r="H421" s="59"/>
      <c r="J421" s="39"/>
      <c r="K421" s="39"/>
      <c r="Z421" s="58">
        <v>21071</v>
      </c>
      <c r="AA421" s="64">
        <v>6968550</v>
      </c>
      <c r="AB421" s="38">
        <v>44006</v>
      </c>
      <c r="AC421" s="157">
        <v>220010</v>
      </c>
      <c r="AE421" s="42"/>
      <c r="AG421" s="155"/>
      <c r="AJ421" s="123"/>
      <c r="AK421" s="157"/>
      <c r="AM421" s="40"/>
    </row>
    <row r="422" spans="1:39" ht="15.75" customHeight="1" x14ac:dyDescent="0.25">
      <c r="A422" s="59" t="s">
        <v>724</v>
      </c>
      <c r="B422" s="283"/>
      <c r="C422" s="7"/>
      <c r="D422" s="7"/>
      <c r="E422" s="7"/>
      <c r="F422" s="7"/>
      <c r="G422" s="26"/>
      <c r="H422" s="59"/>
      <c r="J422" s="39"/>
      <c r="K422" s="39"/>
      <c r="Z422" s="58">
        <v>21072</v>
      </c>
      <c r="AA422" s="64">
        <v>6968550</v>
      </c>
      <c r="AB422" s="38">
        <v>44006</v>
      </c>
      <c r="AC422" s="157">
        <v>220010</v>
      </c>
      <c r="AE422" s="42"/>
      <c r="AG422" s="155"/>
      <c r="AJ422" s="123"/>
      <c r="AK422" s="157"/>
      <c r="AM422" s="40"/>
    </row>
    <row r="423" spans="1:39" ht="15.75" customHeight="1" x14ac:dyDescent="0.25">
      <c r="A423" s="59" t="s">
        <v>724</v>
      </c>
      <c r="B423" s="284"/>
      <c r="C423" s="43"/>
      <c r="D423" s="43"/>
      <c r="E423" s="43"/>
      <c r="F423" s="43"/>
      <c r="G423" s="26"/>
      <c r="H423" s="75"/>
      <c r="I423" s="44"/>
      <c r="J423" s="45"/>
      <c r="K423" s="45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>
        <v>21073</v>
      </c>
      <c r="AA423" s="121">
        <v>6968550</v>
      </c>
      <c r="AB423" s="47">
        <v>44006</v>
      </c>
      <c r="AC423" s="158">
        <v>220010</v>
      </c>
      <c r="AD423" s="44"/>
      <c r="AE423" s="46"/>
      <c r="AF423" s="44"/>
      <c r="AG423" s="153"/>
      <c r="AH423" s="55"/>
      <c r="AI423" s="44"/>
      <c r="AJ423" s="75"/>
      <c r="AK423" s="158"/>
      <c r="AL423" s="44"/>
      <c r="AM423" s="48"/>
    </row>
    <row r="424" spans="1:39" ht="15.75" customHeight="1" x14ac:dyDescent="0.25">
      <c r="A424" s="59" t="s">
        <v>724</v>
      </c>
      <c r="B424" s="282" t="s">
        <v>576</v>
      </c>
      <c r="C424" s="33"/>
      <c r="D424" s="33"/>
      <c r="E424" s="33"/>
      <c r="F424" s="95"/>
      <c r="G424" s="11">
        <v>11</v>
      </c>
      <c r="H424" s="57">
        <v>43466</v>
      </c>
      <c r="I424" s="49">
        <v>3323926</v>
      </c>
      <c r="J424" s="53">
        <v>245888.8</v>
      </c>
      <c r="K424" s="53">
        <v>245888.8</v>
      </c>
      <c r="L424" s="57">
        <v>43706</v>
      </c>
      <c r="M424" s="49"/>
      <c r="N424" s="49"/>
      <c r="O424" s="11" t="s">
        <v>577</v>
      </c>
      <c r="P424" s="11">
        <v>3397013</v>
      </c>
      <c r="Q424" s="49" t="s">
        <v>577</v>
      </c>
      <c r="R424" s="11">
        <v>3397013</v>
      </c>
      <c r="S424" s="49"/>
      <c r="T424" s="49"/>
      <c r="U424" s="49"/>
      <c r="V424" s="49"/>
      <c r="W424" s="49"/>
      <c r="X424" s="49"/>
      <c r="Y424" s="49"/>
      <c r="Z424" s="49">
        <v>1107</v>
      </c>
      <c r="AA424" s="122">
        <v>4206763</v>
      </c>
      <c r="AB424" s="50">
        <v>43798</v>
      </c>
      <c r="AC424" s="156">
        <v>22545.26</v>
      </c>
      <c r="AD424" s="49" t="s">
        <v>578</v>
      </c>
      <c r="AE424" s="56">
        <v>3423542</v>
      </c>
      <c r="AF424" s="57">
        <v>43728</v>
      </c>
      <c r="AG424" s="152">
        <v>245888.8</v>
      </c>
      <c r="AH424" s="35" t="s">
        <v>579</v>
      </c>
      <c r="AI424" s="49">
        <v>4265906</v>
      </c>
      <c r="AJ424" s="57">
        <v>43812</v>
      </c>
      <c r="AK424" s="156">
        <v>169766.54</v>
      </c>
      <c r="AL424" s="49"/>
      <c r="AM424" s="96" t="s">
        <v>53</v>
      </c>
    </row>
    <row r="425" spans="1:39" ht="15.75" customHeight="1" x14ac:dyDescent="0.25">
      <c r="A425" s="59" t="s">
        <v>724</v>
      </c>
      <c r="B425" s="283"/>
      <c r="C425" s="7"/>
      <c r="D425" s="7"/>
      <c r="E425" s="85"/>
      <c r="F425" s="97"/>
      <c r="G425" s="98"/>
      <c r="H425" s="59"/>
      <c r="J425" s="39"/>
      <c r="K425" s="39"/>
      <c r="Z425" s="58">
        <v>1109</v>
      </c>
      <c r="AA425" s="64">
        <v>4273406</v>
      </c>
      <c r="AB425" s="38">
        <v>43802</v>
      </c>
      <c r="AC425" s="157">
        <v>16394</v>
      </c>
      <c r="AD425" s="58" t="s">
        <v>580</v>
      </c>
      <c r="AE425" s="42">
        <v>6838789</v>
      </c>
      <c r="AF425" s="59">
        <v>44085</v>
      </c>
      <c r="AG425" s="155">
        <v>245888.8</v>
      </c>
      <c r="AH425" s="169" t="s">
        <v>581</v>
      </c>
      <c r="AI425" s="58">
        <v>4318745</v>
      </c>
      <c r="AJ425" s="59">
        <v>43819</v>
      </c>
      <c r="AK425" s="157">
        <v>55333.26</v>
      </c>
      <c r="AM425" s="99" t="s">
        <v>53</v>
      </c>
    </row>
    <row r="426" spans="1:39" ht="15.75" customHeight="1" x14ac:dyDescent="0.25">
      <c r="A426" s="59" t="s">
        <v>724</v>
      </c>
      <c r="B426" s="283"/>
      <c r="C426" s="7"/>
      <c r="D426" s="7"/>
      <c r="E426" s="85"/>
      <c r="F426" s="93"/>
      <c r="G426" s="100"/>
      <c r="H426" s="59"/>
      <c r="J426" s="39"/>
      <c r="K426" s="39"/>
      <c r="Z426" s="58">
        <v>1110</v>
      </c>
      <c r="AA426" s="64">
        <v>4273406</v>
      </c>
      <c r="AB426" s="38">
        <v>43802</v>
      </c>
      <c r="AC426" s="157">
        <v>16394</v>
      </c>
      <c r="AE426" s="42"/>
      <c r="AG426" s="155"/>
      <c r="AH426" s="169" t="s">
        <v>582</v>
      </c>
      <c r="AI426" s="58">
        <v>6104279</v>
      </c>
      <c r="AJ426" s="59">
        <v>44005</v>
      </c>
      <c r="AK426" s="157">
        <v>20789</v>
      </c>
      <c r="AM426" s="99" t="s">
        <v>53</v>
      </c>
    </row>
    <row r="427" spans="1:39" ht="15.75" customHeight="1" x14ac:dyDescent="0.25">
      <c r="A427" s="59" t="s">
        <v>724</v>
      </c>
      <c r="B427" s="283"/>
      <c r="C427" s="7"/>
      <c r="D427" s="7"/>
      <c r="E427" s="85"/>
      <c r="F427" s="85"/>
      <c r="G427" s="98"/>
      <c r="H427" s="59"/>
      <c r="J427" s="39"/>
      <c r="K427" s="39"/>
      <c r="Z427" s="58">
        <v>1111</v>
      </c>
      <c r="AA427" s="64">
        <v>4206763</v>
      </c>
      <c r="AB427" s="38">
        <v>43802</v>
      </c>
      <c r="AC427" s="157">
        <v>21260</v>
      </c>
      <c r="AE427" s="42"/>
      <c r="AG427" s="155"/>
      <c r="AJ427" s="123"/>
      <c r="AK427" s="157"/>
      <c r="AM427" s="40"/>
    </row>
    <row r="428" spans="1:39" ht="15.75" customHeight="1" x14ac:dyDescent="0.25">
      <c r="A428" s="59" t="s">
        <v>724</v>
      </c>
      <c r="B428" s="283"/>
      <c r="C428" s="7"/>
      <c r="D428" s="7"/>
      <c r="E428" s="85"/>
      <c r="F428" s="101"/>
      <c r="G428" s="100"/>
      <c r="H428" s="59"/>
      <c r="J428" s="39"/>
      <c r="K428" s="39"/>
      <c r="Z428" s="58">
        <v>1112</v>
      </c>
      <c r="AA428" s="64">
        <v>4206763</v>
      </c>
      <c r="AB428" s="38">
        <v>43802</v>
      </c>
      <c r="AC428" s="157">
        <v>18914</v>
      </c>
      <c r="AE428" s="42"/>
      <c r="AG428" s="155"/>
      <c r="AJ428" s="123"/>
      <c r="AK428" s="157"/>
      <c r="AM428" s="40"/>
    </row>
    <row r="429" spans="1:39" ht="15.75" customHeight="1" x14ac:dyDescent="0.25">
      <c r="A429" s="59" t="s">
        <v>724</v>
      </c>
      <c r="B429" s="283"/>
      <c r="C429" s="7"/>
      <c r="D429" s="7"/>
      <c r="E429" s="85"/>
      <c r="F429" s="7"/>
      <c r="G429" s="100"/>
      <c r="H429" s="59"/>
      <c r="J429" s="39"/>
      <c r="K429" s="39"/>
      <c r="Z429" s="58">
        <v>1113</v>
      </c>
      <c r="AA429" s="64">
        <v>4206763</v>
      </c>
      <c r="AB429" s="38">
        <v>43802</v>
      </c>
      <c r="AC429" s="157">
        <v>21260</v>
      </c>
      <c r="AE429" s="42"/>
      <c r="AG429" s="155"/>
      <c r="AJ429" s="123"/>
      <c r="AK429" s="157"/>
      <c r="AM429" s="40"/>
    </row>
    <row r="430" spans="1:39" ht="15.75" customHeight="1" x14ac:dyDescent="0.25">
      <c r="A430" s="59" t="s">
        <v>724</v>
      </c>
      <c r="B430" s="283"/>
      <c r="C430" s="7"/>
      <c r="D430" s="7"/>
      <c r="E430" s="85"/>
      <c r="F430" s="7"/>
      <c r="G430" s="100"/>
      <c r="H430" s="59"/>
      <c r="J430" s="39"/>
      <c r="K430" s="39"/>
      <c r="Z430" s="58">
        <v>1114</v>
      </c>
      <c r="AA430" s="64">
        <v>4279435</v>
      </c>
      <c r="AB430" s="38">
        <v>43803</v>
      </c>
      <c r="AC430" s="157">
        <v>22545.26</v>
      </c>
      <c r="AE430" s="42"/>
      <c r="AG430" s="155"/>
      <c r="AJ430" s="123"/>
      <c r="AK430" s="157"/>
      <c r="AM430" s="40"/>
    </row>
    <row r="431" spans="1:39" ht="15.75" customHeight="1" x14ac:dyDescent="0.25">
      <c r="A431" s="59" t="s">
        <v>724</v>
      </c>
      <c r="B431" s="283"/>
      <c r="C431" s="7"/>
      <c r="D431" s="7"/>
      <c r="E431" s="85"/>
      <c r="F431" s="101"/>
      <c r="G431" s="100"/>
      <c r="H431" s="59"/>
      <c r="J431" s="39"/>
      <c r="K431" s="39"/>
      <c r="Z431" s="58">
        <v>1115</v>
      </c>
      <c r="AA431" s="64">
        <v>4206763</v>
      </c>
      <c r="AB431" s="38">
        <v>43803</v>
      </c>
      <c r="AC431" s="157">
        <v>24420.26</v>
      </c>
      <c r="AE431" s="42"/>
      <c r="AG431" s="155"/>
      <c r="AJ431" s="123"/>
      <c r="AK431" s="157"/>
      <c r="AM431" s="40"/>
    </row>
    <row r="432" spans="1:39" ht="15.75" customHeight="1" x14ac:dyDescent="0.25">
      <c r="A432" s="59" t="s">
        <v>724</v>
      </c>
      <c r="B432" s="283"/>
      <c r="C432" s="7"/>
      <c r="D432" s="7"/>
      <c r="E432" s="85"/>
      <c r="F432" s="7"/>
      <c r="G432" s="26"/>
      <c r="H432" s="126"/>
      <c r="J432" s="39"/>
      <c r="K432" s="39"/>
      <c r="Z432" s="58">
        <v>1116</v>
      </c>
      <c r="AA432" s="64">
        <v>4206763</v>
      </c>
      <c r="AB432" s="38">
        <v>43803</v>
      </c>
      <c r="AC432" s="157">
        <v>16464</v>
      </c>
      <c r="AE432" s="42"/>
      <c r="AG432" s="155"/>
      <c r="AJ432" s="123"/>
      <c r="AK432" s="157"/>
      <c r="AM432" s="40"/>
    </row>
    <row r="433" spans="1:39" ht="15.75" customHeight="1" x14ac:dyDescent="0.25">
      <c r="A433" s="59" t="s">
        <v>724</v>
      </c>
      <c r="B433" s="283"/>
      <c r="C433" s="7"/>
      <c r="D433" s="7"/>
      <c r="E433" s="85"/>
      <c r="F433" s="90"/>
      <c r="G433" s="26"/>
      <c r="H433" s="127"/>
      <c r="J433" s="39"/>
      <c r="K433" s="39"/>
      <c r="Z433" s="58">
        <v>1117</v>
      </c>
      <c r="AA433" s="64">
        <v>4206763</v>
      </c>
      <c r="AB433" s="38">
        <v>43803</v>
      </c>
      <c r="AC433" s="157">
        <v>22545.26</v>
      </c>
      <c r="AE433" s="42"/>
      <c r="AG433" s="155"/>
      <c r="AJ433" s="123"/>
      <c r="AK433" s="157"/>
      <c r="AM433" s="40"/>
    </row>
    <row r="434" spans="1:39" ht="15.75" customHeight="1" x14ac:dyDescent="0.25">
      <c r="A434" s="59" t="s">
        <v>724</v>
      </c>
      <c r="B434" s="283"/>
      <c r="C434" s="7"/>
      <c r="D434" s="7"/>
      <c r="E434" s="7"/>
      <c r="F434" s="7"/>
      <c r="G434" s="26"/>
      <c r="H434" s="128"/>
      <c r="J434" s="39"/>
      <c r="K434" s="39"/>
      <c r="Z434" s="58">
        <v>1118</v>
      </c>
      <c r="AA434" s="64">
        <v>4206763</v>
      </c>
      <c r="AB434" s="38">
        <v>43803</v>
      </c>
      <c r="AC434" s="157">
        <v>22357.759999999998</v>
      </c>
      <c r="AE434" s="42"/>
      <c r="AG434" s="155"/>
      <c r="AJ434" s="123"/>
      <c r="AK434" s="157"/>
      <c r="AM434" s="40"/>
    </row>
    <row r="435" spans="1:39" ht="15.75" customHeight="1" x14ac:dyDescent="0.25">
      <c r="A435" s="59" t="s">
        <v>724</v>
      </c>
      <c r="B435" s="296"/>
      <c r="C435" s="93"/>
      <c r="D435" s="93"/>
      <c r="E435" s="93"/>
      <c r="F435" s="101"/>
      <c r="G435" s="26"/>
      <c r="H435" s="126"/>
      <c r="J435" s="39"/>
      <c r="K435" s="39"/>
      <c r="Z435" s="58">
        <v>1165</v>
      </c>
      <c r="AA435" s="64">
        <v>5794098</v>
      </c>
      <c r="AB435" s="38">
        <v>43924</v>
      </c>
      <c r="AC435" s="157">
        <v>20798</v>
      </c>
      <c r="AE435" s="42"/>
      <c r="AG435" s="155"/>
      <c r="AJ435" s="123"/>
      <c r="AK435" s="157"/>
      <c r="AM435" s="40"/>
    </row>
    <row r="436" spans="1:39" ht="15.75" customHeight="1" x14ac:dyDescent="0.25">
      <c r="A436" s="59" t="s">
        <v>724</v>
      </c>
      <c r="B436" s="282" t="s">
        <v>583</v>
      </c>
      <c r="C436" s="33"/>
      <c r="D436" s="33"/>
      <c r="E436" s="33"/>
      <c r="F436" s="33"/>
      <c r="G436" s="11">
        <v>91</v>
      </c>
      <c r="H436" s="57">
        <v>44562</v>
      </c>
      <c r="I436" s="49">
        <v>16915869</v>
      </c>
      <c r="J436" s="53">
        <v>197403</v>
      </c>
      <c r="K436" s="53">
        <v>197403</v>
      </c>
      <c r="L436" s="57">
        <v>44858</v>
      </c>
      <c r="M436" s="49"/>
      <c r="N436" s="49"/>
      <c r="O436" s="11" t="s">
        <v>577</v>
      </c>
      <c r="P436" s="49">
        <v>17004921</v>
      </c>
      <c r="Q436" s="11" t="s">
        <v>577</v>
      </c>
      <c r="R436" s="49">
        <v>17004921</v>
      </c>
      <c r="S436" s="49"/>
      <c r="T436" s="49"/>
      <c r="U436" s="49"/>
      <c r="V436" s="49"/>
      <c r="W436" s="49"/>
      <c r="X436" s="49"/>
      <c r="Y436" s="49"/>
      <c r="Z436" s="49">
        <v>967</v>
      </c>
      <c r="AA436" s="122">
        <v>20415772</v>
      </c>
      <c r="AB436" s="50">
        <v>44909</v>
      </c>
      <c r="AC436" s="156">
        <v>15534</v>
      </c>
      <c r="AD436" s="49" t="s">
        <v>584</v>
      </c>
      <c r="AE436" s="56">
        <v>16866941</v>
      </c>
      <c r="AF436" s="57">
        <v>44851</v>
      </c>
      <c r="AG436" s="152">
        <v>197403</v>
      </c>
      <c r="AH436" s="35" t="s">
        <v>585</v>
      </c>
      <c r="AI436" s="49">
        <v>20626679</v>
      </c>
      <c r="AJ436" s="57">
        <v>45079</v>
      </c>
      <c r="AK436" s="156">
        <v>15534</v>
      </c>
      <c r="AL436" s="49"/>
      <c r="AM436" s="36" t="s">
        <v>53</v>
      </c>
    </row>
    <row r="437" spans="1:39" ht="15.75" customHeight="1" x14ac:dyDescent="0.25">
      <c r="A437" s="59" t="s">
        <v>724</v>
      </c>
      <c r="B437" s="284"/>
      <c r="C437" s="43"/>
      <c r="D437" s="43"/>
      <c r="E437" s="43"/>
      <c r="F437" s="43"/>
      <c r="G437" s="14"/>
      <c r="H437" s="75"/>
      <c r="I437" s="44"/>
      <c r="J437" s="45"/>
      <c r="K437" s="45"/>
      <c r="L437" s="44"/>
      <c r="M437" s="44"/>
      <c r="N437" s="44"/>
      <c r="O437" s="55" t="s">
        <v>586</v>
      </c>
      <c r="P437" s="44">
        <v>17059284</v>
      </c>
      <c r="Q437" s="55" t="s">
        <v>586</v>
      </c>
      <c r="R437" s="44">
        <v>17059284</v>
      </c>
      <c r="S437" s="44"/>
      <c r="T437" s="44"/>
      <c r="U437" s="44"/>
      <c r="V437" s="44"/>
      <c r="W437" s="44"/>
      <c r="X437" s="44"/>
      <c r="Y437" s="44"/>
      <c r="Z437" s="44">
        <v>2367</v>
      </c>
      <c r="AA437" s="121">
        <v>20492549</v>
      </c>
      <c r="AB437" s="47">
        <v>45078</v>
      </c>
      <c r="AC437" s="158">
        <v>15534</v>
      </c>
      <c r="AD437" s="44"/>
      <c r="AE437" s="46"/>
      <c r="AF437" s="44"/>
      <c r="AG437" s="153"/>
      <c r="AH437" s="55"/>
      <c r="AI437" s="44"/>
      <c r="AJ437" s="75"/>
      <c r="AK437" s="158"/>
      <c r="AL437" s="44"/>
      <c r="AM437" s="48"/>
    </row>
    <row r="438" spans="1:39" ht="15.75" customHeight="1" x14ac:dyDescent="0.25">
      <c r="A438" s="59" t="s">
        <v>724</v>
      </c>
      <c r="B438" s="282" t="s">
        <v>587</v>
      </c>
      <c r="C438" s="33"/>
      <c r="D438" s="33"/>
      <c r="E438" s="33"/>
      <c r="F438" s="33"/>
      <c r="G438" s="11">
        <v>86</v>
      </c>
      <c r="H438" s="57">
        <v>44562</v>
      </c>
      <c r="I438" s="49">
        <v>16722404</v>
      </c>
      <c r="J438" s="102">
        <v>134306</v>
      </c>
      <c r="K438" s="102">
        <v>134306</v>
      </c>
      <c r="L438" s="57">
        <v>44844</v>
      </c>
      <c r="M438" s="49"/>
      <c r="N438" s="49"/>
      <c r="O438" s="35" t="s">
        <v>588</v>
      </c>
      <c r="P438" s="49">
        <v>16780297</v>
      </c>
      <c r="Q438" s="35" t="s">
        <v>588</v>
      </c>
      <c r="R438" s="49">
        <v>16780297</v>
      </c>
      <c r="S438" s="49"/>
      <c r="T438" s="49"/>
      <c r="U438" s="49"/>
      <c r="V438" s="49"/>
      <c r="W438" s="49"/>
      <c r="X438" s="49"/>
      <c r="Y438" s="49"/>
      <c r="Z438" s="49">
        <v>1769</v>
      </c>
      <c r="AA438" s="122">
        <v>19855194</v>
      </c>
      <c r="AB438" s="50">
        <v>44980</v>
      </c>
      <c r="AC438" s="156">
        <v>24694</v>
      </c>
      <c r="AD438" s="49" t="s">
        <v>589</v>
      </c>
      <c r="AE438" s="56">
        <v>16708465</v>
      </c>
      <c r="AF438" s="57">
        <v>44838</v>
      </c>
      <c r="AG438" s="152">
        <v>134306</v>
      </c>
      <c r="AH438" s="35" t="s">
        <v>590</v>
      </c>
      <c r="AI438" s="49">
        <v>20485085</v>
      </c>
      <c r="AJ438" s="57">
        <v>45071</v>
      </c>
      <c r="AK438" s="156">
        <v>24694</v>
      </c>
      <c r="AL438" s="49"/>
      <c r="AM438" s="36" t="s">
        <v>53</v>
      </c>
    </row>
    <row r="439" spans="1:39" ht="15.75" customHeight="1" x14ac:dyDescent="0.25">
      <c r="A439" s="59" t="s">
        <v>724</v>
      </c>
      <c r="B439" s="283"/>
      <c r="C439" s="7"/>
      <c r="D439" s="7"/>
      <c r="E439" s="7"/>
      <c r="F439" s="7"/>
      <c r="G439" s="26"/>
      <c r="H439" s="59"/>
      <c r="J439" s="39"/>
      <c r="K439" s="39"/>
      <c r="Z439" s="58">
        <v>1738</v>
      </c>
      <c r="AA439" s="64">
        <v>19855250</v>
      </c>
      <c r="AB439" s="38">
        <v>44914</v>
      </c>
      <c r="AC439" s="157">
        <v>27000</v>
      </c>
      <c r="AE439" s="42"/>
      <c r="AG439" s="155"/>
      <c r="AH439" s="169" t="s">
        <v>591</v>
      </c>
      <c r="AI439" s="58">
        <v>20484968</v>
      </c>
      <c r="AJ439" s="59">
        <v>45071</v>
      </c>
      <c r="AK439" s="157">
        <v>27000</v>
      </c>
      <c r="AM439" s="40" t="s">
        <v>53</v>
      </c>
    </row>
    <row r="440" spans="1:39" ht="15.75" customHeight="1" x14ac:dyDescent="0.25">
      <c r="A440" s="59" t="s">
        <v>724</v>
      </c>
      <c r="B440" s="283"/>
      <c r="C440" s="7" t="s">
        <v>592</v>
      </c>
      <c r="D440" s="7"/>
      <c r="E440" s="7"/>
      <c r="F440" s="7"/>
      <c r="G440" s="26"/>
      <c r="H440" s="59"/>
      <c r="J440" s="39"/>
      <c r="K440" s="39"/>
      <c r="Z440" s="58">
        <v>1739</v>
      </c>
      <c r="AA440" s="64">
        <v>19855298</v>
      </c>
      <c r="AB440" s="38">
        <v>44914</v>
      </c>
      <c r="AC440" s="157">
        <v>27306</v>
      </c>
      <c r="AE440" s="42"/>
      <c r="AG440" s="155"/>
      <c r="AH440" s="169" t="s">
        <v>593</v>
      </c>
      <c r="AI440" s="58">
        <v>20485050</v>
      </c>
      <c r="AJ440" s="59">
        <v>45071</v>
      </c>
      <c r="AK440" s="157">
        <v>27306</v>
      </c>
      <c r="AM440" s="40" t="s">
        <v>53</v>
      </c>
    </row>
    <row r="441" spans="1:39" ht="15.75" customHeight="1" x14ac:dyDescent="0.25">
      <c r="A441" s="59" t="s">
        <v>724</v>
      </c>
      <c r="B441" s="283"/>
      <c r="C441" s="7"/>
      <c r="D441" s="7"/>
      <c r="E441" s="7"/>
      <c r="F441" s="7"/>
      <c r="G441" s="26"/>
      <c r="H441" s="59"/>
      <c r="J441" s="39"/>
      <c r="K441" s="39"/>
      <c r="Z441" s="58">
        <v>1799</v>
      </c>
      <c r="AA441" s="64">
        <v>20874542</v>
      </c>
      <c r="AB441" s="38">
        <v>45076</v>
      </c>
      <c r="AC441" s="157">
        <v>28000</v>
      </c>
      <c r="AE441" s="42"/>
      <c r="AG441" s="155"/>
      <c r="AH441" s="169" t="s">
        <v>594</v>
      </c>
      <c r="AI441" s="58">
        <v>21412015</v>
      </c>
      <c r="AJ441" s="59">
        <v>45114</v>
      </c>
      <c r="AK441" s="157">
        <v>28000</v>
      </c>
      <c r="AM441" s="40" t="s">
        <v>53</v>
      </c>
    </row>
    <row r="442" spans="1:39" ht="15.75" customHeight="1" x14ac:dyDescent="0.25">
      <c r="A442" s="59" t="s">
        <v>724</v>
      </c>
      <c r="B442" s="284"/>
      <c r="C442" s="43"/>
      <c r="D442" s="43"/>
      <c r="E442" s="43"/>
      <c r="F442" s="43"/>
      <c r="G442" s="14"/>
      <c r="H442" s="75"/>
      <c r="I442" s="44"/>
      <c r="J442" s="45"/>
      <c r="K442" s="45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>
        <v>1786</v>
      </c>
      <c r="AA442" s="121">
        <v>20874646</v>
      </c>
      <c r="AB442" s="47">
        <v>45048</v>
      </c>
      <c r="AC442" s="158">
        <v>27306</v>
      </c>
      <c r="AD442" s="44"/>
      <c r="AE442" s="46"/>
      <c r="AF442" s="44"/>
      <c r="AG442" s="153"/>
      <c r="AH442" s="55" t="s">
        <v>595</v>
      </c>
      <c r="AI442" s="44">
        <v>21411971</v>
      </c>
      <c r="AJ442" s="75">
        <v>45114</v>
      </c>
      <c r="AK442" s="158">
        <v>27306</v>
      </c>
      <c r="AL442" s="44"/>
      <c r="AM442" s="48" t="s">
        <v>53</v>
      </c>
    </row>
    <row r="443" spans="1:39" ht="15.75" customHeight="1" x14ac:dyDescent="0.25">
      <c r="A443" s="59" t="s">
        <v>724</v>
      </c>
      <c r="B443" s="282" t="s">
        <v>596</v>
      </c>
      <c r="C443" s="33"/>
      <c r="D443" s="33"/>
      <c r="E443" s="33"/>
      <c r="F443" s="33"/>
      <c r="G443" s="11">
        <v>27</v>
      </c>
      <c r="H443" s="57">
        <v>43466</v>
      </c>
      <c r="I443" s="49">
        <v>4528489</v>
      </c>
      <c r="J443" s="53">
        <v>422650</v>
      </c>
      <c r="K443" s="53">
        <v>422650</v>
      </c>
      <c r="L443" s="57">
        <v>43850</v>
      </c>
      <c r="M443" s="49">
        <v>90</v>
      </c>
      <c r="N443" s="57">
        <f>L443+M443</f>
        <v>43940</v>
      </c>
      <c r="O443" s="11" t="s">
        <v>597</v>
      </c>
      <c r="P443" s="49">
        <v>4528489</v>
      </c>
      <c r="Q443" s="11" t="s">
        <v>597</v>
      </c>
      <c r="R443" s="49">
        <v>4528489</v>
      </c>
      <c r="S443" s="49"/>
      <c r="T443" s="49"/>
      <c r="U443" s="49"/>
      <c r="V443" s="49"/>
      <c r="W443" s="49"/>
      <c r="X443" s="49"/>
      <c r="Y443" s="49"/>
      <c r="Z443" s="49">
        <v>175550</v>
      </c>
      <c r="AA443" s="122">
        <v>6222724</v>
      </c>
      <c r="AB443" s="50">
        <v>43998</v>
      </c>
      <c r="AC443" s="156">
        <v>366400</v>
      </c>
      <c r="AD443" s="49" t="s">
        <v>598</v>
      </c>
      <c r="AE443" s="56">
        <v>5280664</v>
      </c>
      <c r="AF443" s="57">
        <v>43934</v>
      </c>
      <c r="AG443" s="152">
        <v>422650</v>
      </c>
      <c r="AH443" s="35" t="s">
        <v>599</v>
      </c>
      <c r="AI443" s="49">
        <v>6498851</v>
      </c>
      <c r="AJ443" s="57">
        <v>44048</v>
      </c>
      <c r="AK443" s="156">
        <v>366400</v>
      </c>
      <c r="AL443" s="49"/>
      <c r="AM443" s="36" t="s">
        <v>53</v>
      </c>
    </row>
    <row r="444" spans="1:39" ht="15.75" customHeight="1" x14ac:dyDescent="0.25">
      <c r="A444" s="59" t="s">
        <v>724</v>
      </c>
      <c r="B444" s="283"/>
      <c r="C444" s="7"/>
      <c r="D444" s="7"/>
      <c r="E444" s="7"/>
      <c r="F444" s="7"/>
      <c r="G444" s="26">
        <v>29</v>
      </c>
      <c r="H444" s="59">
        <v>43466</v>
      </c>
      <c r="I444" s="58">
        <v>4528566</v>
      </c>
      <c r="J444" s="39">
        <v>1099690</v>
      </c>
      <c r="K444" s="39">
        <v>1099690</v>
      </c>
      <c r="L444" s="59">
        <v>43850</v>
      </c>
      <c r="M444" s="58">
        <v>90</v>
      </c>
      <c r="N444" s="59">
        <f>L444+M444</f>
        <v>43940</v>
      </c>
      <c r="O444" s="26" t="s">
        <v>597</v>
      </c>
      <c r="P444" s="58">
        <v>4528566</v>
      </c>
      <c r="Q444" s="26" t="s">
        <v>597</v>
      </c>
      <c r="R444" s="58">
        <v>4528566</v>
      </c>
      <c r="Z444" s="58">
        <v>157077</v>
      </c>
      <c r="AA444" s="64">
        <v>6222813</v>
      </c>
      <c r="AB444" s="38">
        <v>43997</v>
      </c>
      <c r="AC444" s="157">
        <v>885810</v>
      </c>
      <c r="AD444" s="58" t="s">
        <v>600</v>
      </c>
      <c r="AE444" s="42">
        <v>5289237</v>
      </c>
      <c r="AF444" s="59">
        <v>43935</v>
      </c>
      <c r="AG444" s="155">
        <v>1099690</v>
      </c>
      <c r="AH444" s="169" t="s">
        <v>601</v>
      </c>
      <c r="AI444" s="58">
        <v>6498821</v>
      </c>
      <c r="AJ444" s="59">
        <v>44048</v>
      </c>
      <c r="AK444" s="157">
        <v>865810</v>
      </c>
      <c r="AM444" s="40" t="s">
        <v>53</v>
      </c>
    </row>
    <row r="445" spans="1:39" ht="15.75" customHeight="1" x14ac:dyDescent="0.25">
      <c r="A445" s="59" t="s">
        <v>724</v>
      </c>
      <c r="B445" s="284"/>
      <c r="C445" s="43"/>
      <c r="D445" s="43"/>
      <c r="E445" s="43"/>
      <c r="F445" s="43"/>
      <c r="G445" s="14"/>
      <c r="H445" s="75"/>
      <c r="I445" s="44"/>
      <c r="J445" s="45"/>
      <c r="K445" s="45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>
        <v>178073</v>
      </c>
      <c r="AA445" s="121">
        <v>6790390</v>
      </c>
      <c r="AB445" s="47">
        <v>44036</v>
      </c>
      <c r="AC445" s="158">
        <v>56250</v>
      </c>
      <c r="AD445" s="44"/>
      <c r="AE445" s="46"/>
      <c r="AF445" s="44"/>
      <c r="AG445" s="153"/>
      <c r="AH445" s="55" t="s">
        <v>602</v>
      </c>
      <c r="AI445" s="44">
        <v>7781650</v>
      </c>
      <c r="AJ445" s="75">
        <v>44161</v>
      </c>
      <c r="AK445" s="158">
        <v>56250</v>
      </c>
      <c r="AL445" s="44"/>
      <c r="AM445" s="48" t="s">
        <v>53</v>
      </c>
    </row>
    <row r="446" spans="1:39" ht="15.75" customHeight="1" x14ac:dyDescent="0.25">
      <c r="A446" s="59" t="s">
        <v>724</v>
      </c>
      <c r="B446" s="282" t="s">
        <v>603</v>
      </c>
      <c r="C446" s="33"/>
      <c r="D446" s="33"/>
      <c r="E446" s="33"/>
      <c r="F446" s="33"/>
      <c r="G446" s="285">
        <v>20</v>
      </c>
      <c r="H446" s="280">
        <v>43101</v>
      </c>
      <c r="I446" s="278">
        <v>1142363</v>
      </c>
      <c r="J446" s="53">
        <v>134449.5</v>
      </c>
      <c r="K446" s="272">
        <v>345899</v>
      </c>
      <c r="L446" s="280">
        <v>43416</v>
      </c>
      <c r="M446" s="278">
        <v>60</v>
      </c>
      <c r="N446" s="280">
        <f>L446+M446</f>
        <v>43476</v>
      </c>
      <c r="O446" s="278" t="s">
        <v>277</v>
      </c>
      <c r="P446" s="278">
        <v>1283388</v>
      </c>
      <c r="Q446" s="278" t="s">
        <v>277</v>
      </c>
      <c r="R446" s="278">
        <v>1283388</v>
      </c>
      <c r="S446" s="49"/>
      <c r="T446" s="49"/>
      <c r="U446" s="49"/>
      <c r="V446" s="49"/>
      <c r="W446" s="49">
        <v>2937388</v>
      </c>
      <c r="X446" s="49">
        <v>9640</v>
      </c>
      <c r="Y446" s="49"/>
      <c r="Z446" s="49">
        <v>234</v>
      </c>
      <c r="AA446" s="122">
        <v>2937369</v>
      </c>
      <c r="AB446" s="50">
        <v>43501</v>
      </c>
      <c r="AC446" s="156">
        <v>132449.5</v>
      </c>
      <c r="AD446" s="49" t="s">
        <v>604</v>
      </c>
      <c r="AE446" s="56">
        <v>1157705</v>
      </c>
      <c r="AF446" s="57">
        <v>43440</v>
      </c>
      <c r="AG446" s="152">
        <v>345899</v>
      </c>
      <c r="AH446" s="35" t="s">
        <v>605</v>
      </c>
      <c r="AI446" s="49">
        <v>3264662</v>
      </c>
      <c r="AJ446" s="57">
        <v>43711</v>
      </c>
      <c r="AK446" s="156">
        <v>345899</v>
      </c>
      <c r="AL446" s="49"/>
      <c r="AM446" s="36" t="s">
        <v>53</v>
      </c>
    </row>
    <row r="447" spans="1:39" ht="15.75" customHeight="1" x14ac:dyDescent="0.25">
      <c r="A447" s="59" t="s">
        <v>724</v>
      </c>
      <c r="B447" s="283"/>
      <c r="C447" s="7"/>
      <c r="D447" s="7"/>
      <c r="E447" s="7"/>
      <c r="F447" s="7"/>
      <c r="G447" s="286"/>
      <c r="H447" s="271"/>
      <c r="I447" s="271"/>
      <c r="J447" s="39">
        <v>81000</v>
      </c>
      <c r="K447" s="271"/>
      <c r="L447" s="271"/>
      <c r="M447" s="271"/>
      <c r="N447" s="271"/>
      <c r="O447" s="271"/>
      <c r="P447" s="271"/>
      <c r="Q447" s="271"/>
      <c r="R447" s="271"/>
      <c r="W447" s="58">
        <v>2937416</v>
      </c>
      <c r="X447" s="58">
        <v>9641</v>
      </c>
      <c r="Z447" s="58">
        <v>235</v>
      </c>
      <c r="AA447" s="64">
        <v>2937403</v>
      </c>
      <c r="AB447" s="38">
        <v>43501</v>
      </c>
      <c r="AC447" s="157">
        <v>81000</v>
      </c>
      <c r="AD447" s="58" t="s">
        <v>606</v>
      </c>
      <c r="AE447" s="42">
        <v>3244496</v>
      </c>
      <c r="AF447" s="59">
        <v>43710</v>
      </c>
      <c r="AG447" s="155">
        <v>345899</v>
      </c>
      <c r="AJ447" s="123"/>
      <c r="AK447" s="157"/>
      <c r="AM447" s="40"/>
    </row>
    <row r="448" spans="1:39" ht="15.75" customHeight="1" x14ac:dyDescent="0.25">
      <c r="A448" s="59" t="s">
        <v>724</v>
      </c>
      <c r="B448" s="284"/>
      <c r="C448" s="43"/>
      <c r="D448" s="43"/>
      <c r="E448" s="43"/>
      <c r="F448" s="43"/>
      <c r="G448" s="287"/>
      <c r="H448" s="279"/>
      <c r="I448" s="279"/>
      <c r="J448" s="45"/>
      <c r="K448" s="279"/>
      <c r="L448" s="279"/>
      <c r="M448" s="279"/>
      <c r="N448" s="279"/>
      <c r="O448" s="279"/>
      <c r="P448" s="279"/>
      <c r="Q448" s="279"/>
      <c r="R448" s="279"/>
      <c r="S448" s="44"/>
      <c r="T448" s="44"/>
      <c r="U448" s="44"/>
      <c r="V448" s="44"/>
      <c r="W448" s="44">
        <v>2937440</v>
      </c>
      <c r="X448" s="44">
        <v>9642</v>
      </c>
      <c r="Y448" s="44"/>
      <c r="Z448" s="44">
        <v>239</v>
      </c>
      <c r="AA448" s="121">
        <v>2937431</v>
      </c>
      <c r="AB448" s="47">
        <v>43518</v>
      </c>
      <c r="AC448" s="158">
        <v>132449.5</v>
      </c>
      <c r="AD448" s="44"/>
      <c r="AE448" s="46"/>
      <c r="AF448" s="44"/>
      <c r="AG448" s="153"/>
      <c r="AH448" s="55"/>
      <c r="AI448" s="44"/>
      <c r="AJ448" s="75"/>
      <c r="AK448" s="158"/>
      <c r="AL448" s="44"/>
      <c r="AM448" s="48"/>
    </row>
    <row r="449" spans="1:39" ht="15.75" customHeight="1" x14ac:dyDescent="0.25">
      <c r="A449" s="59" t="s">
        <v>724</v>
      </c>
      <c r="B449" s="282" t="s">
        <v>607</v>
      </c>
      <c r="C449" s="33"/>
      <c r="D449" s="33"/>
      <c r="E449" s="33"/>
      <c r="F449" s="33"/>
      <c r="G449" s="285">
        <v>52</v>
      </c>
      <c r="H449" s="280">
        <v>44562</v>
      </c>
      <c r="I449" s="278">
        <v>14854690</v>
      </c>
      <c r="J449" s="53">
        <v>12000</v>
      </c>
      <c r="K449" s="272">
        <v>13199</v>
      </c>
      <c r="L449" s="280">
        <v>44720</v>
      </c>
      <c r="M449" s="278">
        <v>30</v>
      </c>
      <c r="N449" s="280">
        <f>L449+M449</f>
        <v>44750</v>
      </c>
      <c r="O449" s="278" t="s">
        <v>608</v>
      </c>
      <c r="P449" s="278">
        <v>14915901</v>
      </c>
      <c r="Q449" s="278" t="s">
        <v>608</v>
      </c>
      <c r="R449" s="278">
        <v>14915901</v>
      </c>
      <c r="S449" s="49">
        <v>16004710</v>
      </c>
      <c r="T449" s="57">
        <v>44792</v>
      </c>
      <c r="U449" s="49">
        <v>16004874</v>
      </c>
      <c r="V449" s="57">
        <v>44796</v>
      </c>
      <c r="W449" s="49">
        <v>16005145</v>
      </c>
      <c r="X449" s="49" t="s">
        <v>609</v>
      </c>
      <c r="Y449" s="49"/>
      <c r="Z449" s="49">
        <v>1297</v>
      </c>
      <c r="AA449" s="122">
        <v>15877468</v>
      </c>
      <c r="AB449" s="50">
        <v>44774</v>
      </c>
      <c r="AC449" s="156">
        <v>13199</v>
      </c>
      <c r="AD449" s="49" t="s">
        <v>610</v>
      </c>
      <c r="AE449" s="56">
        <v>14755503</v>
      </c>
      <c r="AF449" s="57">
        <v>44714</v>
      </c>
      <c r="AG449" s="152">
        <v>13199</v>
      </c>
      <c r="AH449" s="35" t="s">
        <v>611</v>
      </c>
      <c r="AI449" s="49">
        <v>17601251</v>
      </c>
      <c r="AJ449" s="57">
        <v>44819</v>
      </c>
      <c r="AK449" s="156">
        <v>13199</v>
      </c>
      <c r="AL449" s="49"/>
      <c r="AM449" s="36" t="s">
        <v>44</v>
      </c>
    </row>
    <row r="450" spans="1:39" ht="15.75" customHeight="1" x14ac:dyDescent="0.25">
      <c r="A450" s="59" t="s">
        <v>724</v>
      </c>
      <c r="B450" s="283"/>
      <c r="C450" s="90"/>
      <c r="D450" s="90"/>
      <c r="E450" s="90"/>
      <c r="F450" s="90"/>
      <c r="G450" s="286"/>
      <c r="H450" s="271"/>
      <c r="I450" s="271"/>
      <c r="J450" s="39">
        <v>1099</v>
      </c>
      <c r="K450" s="271"/>
      <c r="L450" s="271"/>
      <c r="M450" s="271"/>
      <c r="N450" s="271"/>
      <c r="O450" s="271"/>
      <c r="P450" s="271"/>
      <c r="Q450" s="271"/>
      <c r="R450" s="271"/>
      <c r="S450" s="58">
        <v>16028393</v>
      </c>
      <c r="T450" s="59">
        <v>44796</v>
      </c>
      <c r="U450" s="58">
        <v>16028616</v>
      </c>
      <c r="V450" s="59">
        <v>44796</v>
      </c>
      <c r="W450" s="58">
        <v>16028673</v>
      </c>
      <c r="X450" s="78" t="s">
        <v>612</v>
      </c>
      <c r="Z450" s="103">
        <v>2229</v>
      </c>
      <c r="AA450" s="64">
        <v>16027791</v>
      </c>
      <c r="AB450" s="38">
        <v>44778</v>
      </c>
      <c r="AC450" s="157">
        <v>770</v>
      </c>
      <c r="AD450" s="58" t="s">
        <v>613</v>
      </c>
      <c r="AE450" s="42">
        <v>14755585</v>
      </c>
      <c r="AF450" s="59">
        <v>44714</v>
      </c>
      <c r="AG450" s="155">
        <v>770</v>
      </c>
      <c r="AH450" s="169" t="s">
        <v>614</v>
      </c>
      <c r="AI450" s="58">
        <v>17601343</v>
      </c>
      <c r="AJ450" s="59">
        <v>44819</v>
      </c>
      <c r="AK450" s="157">
        <v>770</v>
      </c>
      <c r="AM450" s="40" t="s">
        <v>44</v>
      </c>
    </row>
    <row r="451" spans="1:39" ht="15.75" customHeight="1" x14ac:dyDescent="0.25">
      <c r="A451" s="59" t="s">
        <v>724</v>
      </c>
      <c r="B451" s="283"/>
      <c r="C451" s="90"/>
      <c r="D451" s="90"/>
      <c r="E451" s="90"/>
      <c r="F451" s="90"/>
      <c r="G451" s="286"/>
      <c r="H451" s="271"/>
      <c r="I451" s="271"/>
      <c r="J451" s="39">
        <v>25</v>
      </c>
      <c r="K451" s="271"/>
      <c r="L451" s="271"/>
      <c r="M451" s="271"/>
      <c r="N451" s="271"/>
      <c r="O451" s="271"/>
      <c r="P451" s="271"/>
      <c r="Q451" s="271"/>
      <c r="R451" s="271"/>
      <c r="AA451" s="64"/>
      <c r="AC451" s="157"/>
      <c r="AE451" s="42"/>
      <c r="AG451" s="155"/>
      <c r="AJ451" s="123"/>
      <c r="AK451" s="157"/>
      <c r="AM451" s="40"/>
    </row>
    <row r="452" spans="1:39" ht="15.75" customHeight="1" x14ac:dyDescent="0.25">
      <c r="A452" s="59" t="s">
        <v>724</v>
      </c>
      <c r="B452" s="284"/>
      <c r="C452" s="43"/>
      <c r="D452" s="43"/>
      <c r="E452" s="43"/>
      <c r="F452" s="43"/>
      <c r="G452" s="14">
        <v>53</v>
      </c>
      <c r="H452" s="75">
        <v>44562</v>
      </c>
      <c r="I452" s="44">
        <v>14855417</v>
      </c>
      <c r="J452" s="45">
        <v>770</v>
      </c>
      <c r="K452" s="45">
        <v>770</v>
      </c>
      <c r="L452" s="279"/>
      <c r="M452" s="279"/>
      <c r="N452" s="279"/>
      <c r="O452" s="279"/>
      <c r="P452" s="279"/>
      <c r="Q452" s="279"/>
      <c r="R452" s="279"/>
      <c r="S452" s="44"/>
      <c r="T452" s="44"/>
      <c r="U452" s="44"/>
      <c r="V452" s="44"/>
      <c r="W452" s="44"/>
      <c r="X452" s="44"/>
      <c r="Y452" s="44"/>
      <c r="Z452" s="44"/>
      <c r="AA452" s="121"/>
      <c r="AB452" s="47"/>
      <c r="AC452" s="158"/>
      <c r="AD452" s="44"/>
      <c r="AE452" s="46"/>
      <c r="AF452" s="44"/>
      <c r="AG452" s="153"/>
      <c r="AH452" s="55"/>
      <c r="AI452" s="44"/>
      <c r="AJ452" s="75"/>
      <c r="AK452" s="158"/>
      <c r="AL452" s="44"/>
      <c r="AM452" s="48"/>
    </row>
    <row r="453" spans="1:39" ht="15.75" customHeight="1" x14ac:dyDescent="0.25">
      <c r="A453" s="59" t="s">
        <v>724</v>
      </c>
      <c r="B453" s="282" t="s">
        <v>615</v>
      </c>
      <c r="C453" s="33"/>
      <c r="D453" s="33"/>
      <c r="E453" s="33"/>
      <c r="F453" s="33"/>
      <c r="G453" s="11">
        <v>4</v>
      </c>
      <c r="H453" s="57">
        <v>43466</v>
      </c>
      <c r="I453" s="49">
        <v>2222052</v>
      </c>
      <c r="J453" s="53">
        <v>2118486</v>
      </c>
      <c r="K453" s="53">
        <v>2118486</v>
      </c>
      <c r="L453" s="57">
        <v>43490</v>
      </c>
      <c r="M453" s="49">
        <v>120</v>
      </c>
      <c r="N453" s="57">
        <f>L453+M453</f>
        <v>43610</v>
      </c>
      <c r="O453" s="49" t="s">
        <v>616</v>
      </c>
      <c r="P453" s="49">
        <v>2734805</v>
      </c>
      <c r="Q453" s="49" t="s">
        <v>616</v>
      </c>
      <c r="R453" s="49">
        <v>2734805</v>
      </c>
      <c r="S453" s="49"/>
      <c r="T453" s="49"/>
      <c r="U453" s="49"/>
      <c r="V453" s="49"/>
      <c r="W453" s="49"/>
      <c r="X453" s="49"/>
      <c r="Y453" s="49"/>
      <c r="Z453" s="49">
        <v>684478</v>
      </c>
      <c r="AA453" s="122">
        <v>2927639</v>
      </c>
      <c r="AB453" s="50">
        <v>43657</v>
      </c>
      <c r="AC453" s="156">
        <v>675480</v>
      </c>
      <c r="AD453" s="49" t="s">
        <v>617</v>
      </c>
      <c r="AE453" s="56">
        <v>2741533</v>
      </c>
      <c r="AF453" s="57">
        <v>43657</v>
      </c>
      <c r="AG453" s="152">
        <v>2118486</v>
      </c>
      <c r="AH453" s="35" t="s">
        <v>618</v>
      </c>
      <c r="AI453" s="49">
        <v>3071318</v>
      </c>
      <c r="AJ453" s="57">
        <v>43685</v>
      </c>
      <c r="AK453" s="156">
        <v>2118486</v>
      </c>
      <c r="AL453" s="49"/>
      <c r="AM453" s="36" t="s">
        <v>44</v>
      </c>
    </row>
    <row r="454" spans="1:39" ht="15.75" customHeight="1" x14ac:dyDescent="0.25">
      <c r="A454" s="59" t="s">
        <v>724</v>
      </c>
      <c r="B454" s="283"/>
      <c r="C454" s="7"/>
      <c r="D454" s="7"/>
      <c r="E454" s="7"/>
      <c r="F454" s="7"/>
      <c r="G454" s="26"/>
      <c r="H454" s="59"/>
      <c r="J454" s="39"/>
      <c r="K454" s="39"/>
      <c r="Z454" s="58">
        <v>684479</v>
      </c>
      <c r="AA454" s="64">
        <v>2927767</v>
      </c>
      <c r="AB454" s="38">
        <v>43657</v>
      </c>
      <c r="AC454" s="157">
        <v>675480</v>
      </c>
      <c r="AE454" s="42"/>
      <c r="AG454" s="155"/>
      <c r="AJ454" s="123"/>
      <c r="AK454" s="157"/>
      <c r="AM454" s="40"/>
    </row>
    <row r="455" spans="1:39" ht="15.75" customHeight="1" x14ac:dyDescent="0.25">
      <c r="A455" s="59" t="s">
        <v>724</v>
      </c>
      <c r="B455" s="284"/>
      <c r="C455" s="43"/>
      <c r="D455" s="43"/>
      <c r="E455" s="43"/>
      <c r="F455" s="43"/>
      <c r="G455" s="14"/>
      <c r="H455" s="75"/>
      <c r="I455" s="44"/>
      <c r="J455" s="45"/>
      <c r="K455" s="45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>
        <v>684480</v>
      </c>
      <c r="AA455" s="121">
        <v>2927818</v>
      </c>
      <c r="AB455" s="47">
        <v>43657</v>
      </c>
      <c r="AC455" s="158">
        <v>767526</v>
      </c>
      <c r="AD455" s="44"/>
      <c r="AE455" s="46"/>
      <c r="AF455" s="44"/>
      <c r="AG455" s="153"/>
      <c r="AH455" s="55"/>
      <c r="AI455" s="44"/>
      <c r="AJ455" s="75"/>
      <c r="AK455" s="158"/>
      <c r="AL455" s="44"/>
      <c r="AM455" s="48"/>
    </row>
    <row r="456" spans="1:39" ht="15.75" customHeight="1" x14ac:dyDescent="0.25">
      <c r="A456" s="59" t="s">
        <v>726</v>
      </c>
      <c r="B456" s="282" t="s">
        <v>619</v>
      </c>
      <c r="C456" s="33"/>
      <c r="D456" s="33"/>
      <c r="E456" s="33"/>
      <c r="F456" s="33"/>
      <c r="G456" s="285">
        <v>40</v>
      </c>
      <c r="H456" s="280">
        <v>43101</v>
      </c>
      <c r="I456" s="278">
        <v>1268341</v>
      </c>
      <c r="J456" s="272">
        <v>30492435.379999999</v>
      </c>
      <c r="K456" s="272">
        <v>30492435.379999999</v>
      </c>
      <c r="L456" s="280">
        <v>43454</v>
      </c>
      <c r="M456" s="278">
        <v>365</v>
      </c>
      <c r="N456" s="280">
        <f>L456+M456</f>
        <v>43819</v>
      </c>
      <c r="O456" s="49" t="s">
        <v>620</v>
      </c>
      <c r="P456" s="278">
        <v>1592315</v>
      </c>
      <c r="Q456" s="49" t="s">
        <v>620</v>
      </c>
      <c r="R456" s="278">
        <v>1592315</v>
      </c>
      <c r="S456" s="49"/>
      <c r="T456" s="49"/>
      <c r="U456" s="49">
        <v>8797384</v>
      </c>
      <c r="V456" s="57">
        <v>43266</v>
      </c>
      <c r="W456" s="49"/>
      <c r="X456" s="49"/>
      <c r="Y456" s="49"/>
      <c r="Z456" s="49">
        <v>1</v>
      </c>
      <c r="AA456" s="122">
        <v>2253855</v>
      </c>
      <c r="AB456" s="50">
        <v>43552</v>
      </c>
      <c r="AC456" s="156">
        <v>3251033.72</v>
      </c>
      <c r="AD456" s="49" t="s">
        <v>621</v>
      </c>
      <c r="AE456" s="56">
        <v>1845751</v>
      </c>
      <c r="AF456" s="57">
        <v>43551</v>
      </c>
      <c r="AG456" s="152">
        <v>11000000</v>
      </c>
      <c r="AH456" s="35" t="s">
        <v>622</v>
      </c>
      <c r="AI456" s="49">
        <v>2325486</v>
      </c>
      <c r="AJ456" s="57">
        <v>43609</v>
      </c>
      <c r="AK456" s="156">
        <v>3251033.72</v>
      </c>
      <c r="AL456" s="49"/>
      <c r="AM456" s="36" t="s">
        <v>623</v>
      </c>
    </row>
    <row r="457" spans="1:39" ht="15.75" customHeight="1" x14ac:dyDescent="0.25">
      <c r="A457" s="59" t="s">
        <v>726</v>
      </c>
      <c r="B457" s="283"/>
      <c r="C457" s="7"/>
      <c r="D457" s="7"/>
      <c r="E457" s="7"/>
      <c r="F457" s="7"/>
      <c r="G457" s="286"/>
      <c r="H457" s="271"/>
      <c r="I457" s="271"/>
      <c r="J457" s="271"/>
      <c r="K457" s="271"/>
      <c r="L457" s="271"/>
      <c r="M457" s="271"/>
      <c r="N457" s="271"/>
      <c r="O457" s="58" t="s">
        <v>624</v>
      </c>
      <c r="P457" s="271"/>
      <c r="Q457" s="58" t="s">
        <v>624</v>
      </c>
      <c r="R457" s="271"/>
      <c r="Z457" s="58">
        <v>3</v>
      </c>
      <c r="AA457" s="64">
        <v>2357120</v>
      </c>
      <c r="AB457" s="38">
        <v>43609</v>
      </c>
      <c r="AC457" s="157">
        <v>3439781.39</v>
      </c>
      <c r="AD457" s="58" t="s">
        <v>625</v>
      </c>
      <c r="AE457" s="42">
        <v>2071712</v>
      </c>
      <c r="AF457" s="59">
        <v>43580</v>
      </c>
      <c r="AG457" s="155">
        <v>19492435.379999999</v>
      </c>
      <c r="AH457" s="169" t="s">
        <v>626</v>
      </c>
      <c r="AI457" s="58">
        <v>2935924</v>
      </c>
      <c r="AJ457" s="59">
        <v>43677</v>
      </c>
      <c r="AK457" s="157">
        <v>6645993.9500000002</v>
      </c>
      <c r="AM457" s="40" t="s">
        <v>623</v>
      </c>
    </row>
    <row r="458" spans="1:39" ht="15.75" customHeight="1" x14ac:dyDescent="0.25">
      <c r="A458" s="59" t="s">
        <v>726</v>
      </c>
      <c r="B458" s="283"/>
      <c r="C458" s="7"/>
      <c r="D458" s="7"/>
      <c r="E458" s="7"/>
      <c r="F458" s="7"/>
      <c r="G458" s="26"/>
      <c r="H458" s="59"/>
      <c r="J458" s="39"/>
      <c r="K458" s="39"/>
      <c r="Z458" s="58">
        <v>4</v>
      </c>
      <c r="AA458" s="64">
        <v>2538007</v>
      </c>
      <c r="AB458" s="38">
        <v>43619</v>
      </c>
      <c r="AC458" s="157">
        <v>3206212.56</v>
      </c>
      <c r="AD458" s="58" t="s">
        <v>627</v>
      </c>
      <c r="AE458" s="42">
        <v>2722102</v>
      </c>
      <c r="AF458" s="59">
        <v>43655</v>
      </c>
      <c r="AG458" s="155">
        <v>7748966.2800000003</v>
      </c>
      <c r="AH458" s="169" t="s">
        <v>628</v>
      </c>
      <c r="AI458" s="58">
        <v>3053922</v>
      </c>
      <c r="AJ458" s="59">
        <v>43686</v>
      </c>
      <c r="AK458" s="157">
        <v>1102912.33</v>
      </c>
      <c r="AM458" s="40" t="s">
        <v>623</v>
      </c>
    </row>
    <row r="459" spans="1:39" ht="15.75" customHeight="1" x14ac:dyDescent="0.25">
      <c r="A459" s="59" t="s">
        <v>726</v>
      </c>
      <c r="B459" s="283"/>
      <c r="C459" s="7"/>
      <c r="D459" s="7"/>
      <c r="E459" s="7"/>
      <c r="F459" s="7"/>
      <c r="G459" s="26"/>
      <c r="H459" s="59"/>
      <c r="J459" s="39"/>
      <c r="K459" s="39"/>
      <c r="Z459" s="58">
        <v>5</v>
      </c>
      <c r="AA459" s="64">
        <v>2959090</v>
      </c>
      <c r="AB459" s="38">
        <v>43651</v>
      </c>
      <c r="AC459" s="157">
        <v>2548925.94</v>
      </c>
      <c r="AD459" s="58" t="s">
        <v>629</v>
      </c>
      <c r="AE459" s="42">
        <v>2722137</v>
      </c>
      <c r="AF459" s="59">
        <v>43655</v>
      </c>
      <c r="AG459" s="155">
        <v>19492435.379999999</v>
      </c>
      <c r="AH459" s="169" t="s">
        <v>630</v>
      </c>
      <c r="AI459" s="58">
        <v>3053942</v>
      </c>
      <c r="AJ459" s="59">
        <v>43686</v>
      </c>
      <c r="AK459" s="157">
        <v>1445953.61</v>
      </c>
      <c r="AM459" s="40" t="s">
        <v>623</v>
      </c>
    </row>
    <row r="460" spans="1:39" ht="15.75" customHeight="1" x14ac:dyDescent="0.25">
      <c r="A460" s="59" t="s">
        <v>726</v>
      </c>
      <c r="B460" s="283"/>
      <c r="C460" s="7"/>
      <c r="D460" s="7"/>
      <c r="E460" s="7"/>
      <c r="F460" s="7"/>
      <c r="G460" s="26"/>
      <c r="H460" s="59"/>
      <c r="J460" s="39"/>
      <c r="K460" s="39"/>
      <c r="Z460" s="58">
        <v>7</v>
      </c>
      <c r="AA460" s="64">
        <v>3145915</v>
      </c>
      <c r="AB460" s="38">
        <v>43697</v>
      </c>
      <c r="AC460" s="157">
        <v>2495997.9900000002</v>
      </c>
      <c r="AE460" s="42"/>
      <c r="AG460" s="155"/>
      <c r="AH460" s="169" t="s">
        <v>631</v>
      </c>
      <c r="AI460" s="58">
        <v>3200505</v>
      </c>
      <c r="AJ460" s="59">
        <v>43704</v>
      </c>
      <c r="AK460" s="157">
        <v>2495997.9900000002</v>
      </c>
      <c r="AM460" s="40" t="s">
        <v>623</v>
      </c>
    </row>
    <row r="461" spans="1:39" ht="15.75" customHeight="1" x14ac:dyDescent="0.25">
      <c r="A461" s="59" t="s">
        <v>726</v>
      </c>
      <c r="B461" s="283"/>
      <c r="C461" s="7"/>
      <c r="D461" s="7"/>
      <c r="E461" s="7"/>
      <c r="F461" s="7"/>
      <c r="G461" s="26"/>
      <c r="H461" s="59"/>
      <c r="J461" s="39"/>
      <c r="K461" s="39"/>
      <c r="Z461" s="58">
        <v>8</v>
      </c>
      <c r="AA461" s="64">
        <v>3380205</v>
      </c>
      <c r="AB461" s="38">
        <v>43717</v>
      </c>
      <c r="AC461" s="157">
        <v>3728319.62</v>
      </c>
      <c r="AE461" s="42"/>
      <c r="AG461" s="155"/>
      <c r="AH461" s="169" t="s">
        <v>632</v>
      </c>
      <c r="AI461" s="58">
        <v>3435466</v>
      </c>
      <c r="AJ461" s="59">
        <v>43728</v>
      </c>
      <c r="AK461" s="157">
        <v>3728319.52</v>
      </c>
      <c r="AM461" s="40" t="s">
        <v>623</v>
      </c>
    </row>
    <row r="462" spans="1:39" ht="15.75" customHeight="1" x14ac:dyDescent="0.25">
      <c r="A462" s="59" t="s">
        <v>726</v>
      </c>
      <c r="B462" s="283"/>
      <c r="C462" s="7"/>
      <c r="D462" s="7"/>
      <c r="E462" s="7"/>
      <c r="F462" s="7"/>
      <c r="G462" s="26"/>
      <c r="H462" s="59"/>
      <c r="J462" s="39"/>
      <c r="K462" s="39"/>
      <c r="Z462" s="58">
        <v>9</v>
      </c>
      <c r="AA462" s="64">
        <v>3720501</v>
      </c>
      <c r="AB462" s="38">
        <v>43749</v>
      </c>
      <c r="AC462" s="157">
        <v>2598117.5499999998</v>
      </c>
      <c r="AE462" s="42"/>
      <c r="AG462" s="155"/>
      <c r="AH462" s="169" t="s">
        <v>633</v>
      </c>
      <c r="AI462" s="58">
        <v>3435506</v>
      </c>
      <c r="AJ462" s="59">
        <v>43731</v>
      </c>
      <c r="AK462" s="157">
        <v>0.1</v>
      </c>
      <c r="AM462" s="40" t="s">
        <v>623</v>
      </c>
    </row>
    <row r="463" spans="1:39" ht="15.75" customHeight="1" x14ac:dyDescent="0.25">
      <c r="A463" s="59" t="s">
        <v>726</v>
      </c>
      <c r="B463" s="283"/>
      <c r="C463" s="7"/>
      <c r="D463" s="7"/>
      <c r="E463" s="7"/>
      <c r="F463" s="7"/>
      <c r="G463" s="26"/>
      <c r="H463" s="59"/>
      <c r="J463" s="39"/>
      <c r="K463" s="39"/>
      <c r="Z463" s="58">
        <v>10</v>
      </c>
      <c r="AA463" s="64">
        <v>4303260</v>
      </c>
      <c r="AB463" s="38">
        <v>43822</v>
      </c>
      <c r="AC463" s="157">
        <v>4876685.6100000003</v>
      </c>
      <c r="AE463" s="42"/>
      <c r="AG463" s="155"/>
      <c r="AH463" s="169" t="s">
        <v>634</v>
      </c>
      <c r="AI463" s="58">
        <v>4301488</v>
      </c>
      <c r="AJ463" s="59">
        <v>43766</v>
      </c>
      <c r="AK463" s="157">
        <v>2598117.5499999998</v>
      </c>
      <c r="AM463" s="40" t="s">
        <v>623</v>
      </c>
    </row>
    <row r="464" spans="1:39" ht="15.75" customHeight="1" x14ac:dyDescent="0.25">
      <c r="A464" s="59" t="s">
        <v>726</v>
      </c>
      <c r="B464" s="283"/>
      <c r="C464" s="7"/>
      <c r="D464" s="7"/>
      <c r="E464" s="7"/>
      <c r="F464" s="7"/>
      <c r="G464" s="26"/>
      <c r="H464" s="59"/>
      <c r="J464" s="39"/>
      <c r="K464" s="39"/>
      <c r="Z464" s="58">
        <v>11</v>
      </c>
      <c r="AA464" s="64">
        <v>4661879</v>
      </c>
      <c r="AB464" s="38">
        <v>43867</v>
      </c>
      <c r="AC464" s="157">
        <v>1497648.19</v>
      </c>
      <c r="AE464" s="42"/>
      <c r="AG464" s="155"/>
      <c r="AH464" s="169" t="s">
        <v>635</v>
      </c>
      <c r="AI464" s="58">
        <v>4709302</v>
      </c>
      <c r="AJ464" s="59">
        <v>43826</v>
      </c>
      <c r="AK464" s="157">
        <v>4876685.6100000003</v>
      </c>
      <c r="AM464" s="40" t="s">
        <v>623</v>
      </c>
    </row>
    <row r="465" spans="1:39" ht="15.75" customHeight="1" x14ac:dyDescent="0.25">
      <c r="A465" s="59" t="s">
        <v>726</v>
      </c>
      <c r="B465" s="283"/>
      <c r="C465" s="7"/>
      <c r="D465" s="7"/>
      <c r="E465" s="7"/>
      <c r="F465" s="7"/>
      <c r="G465" s="26"/>
      <c r="H465" s="59"/>
      <c r="J465" s="39"/>
      <c r="K465" s="39"/>
      <c r="Z465" s="58">
        <v>12</v>
      </c>
      <c r="AA465" s="64">
        <v>4944047</v>
      </c>
      <c r="AB465" s="38">
        <v>43899</v>
      </c>
      <c r="AC465" s="157">
        <v>966585.69</v>
      </c>
      <c r="AE465" s="42"/>
      <c r="AG465" s="155"/>
      <c r="AH465" s="169" t="s">
        <v>636</v>
      </c>
      <c r="AI465" s="58">
        <v>5037275</v>
      </c>
      <c r="AJ465" s="59">
        <v>43878</v>
      </c>
      <c r="AK465" s="157">
        <v>1497648.19</v>
      </c>
      <c r="AM465" s="40" t="s">
        <v>623</v>
      </c>
    </row>
    <row r="466" spans="1:39" ht="15.75" customHeight="1" x14ac:dyDescent="0.25">
      <c r="A466" s="59" t="s">
        <v>726</v>
      </c>
      <c r="B466" s="283"/>
      <c r="C466" s="7"/>
      <c r="D466" s="7"/>
      <c r="E466" s="7"/>
      <c r="F466" s="7"/>
      <c r="G466" s="26"/>
      <c r="H466" s="59"/>
      <c r="J466" s="39"/>
      <c r="K466" s="39"/>
      <c r="Z466" s="58">
        <v>13</v>
      </c>
      <c r="AA466" s="64">
        <v>6003004</v>
      </c>
      <c r="AB466" s="38">
        <v>44006</v>
      </c>
      <c r="AC466" s="157">
        <v>696627.86</v>
      </c>
      <c r="AE466" s="42"/>
      <c r="AG466" s="155"/>
      <c r="AH466" s="169" t="s">
        <v>637</v>
      </c>
      <c r="AI466" s="58">
        <v>5089856</v>
      </c>
      <c r="AJ466" s="59">
        <v>43913</v>
      </c>
      <c r="AK466" s="157">
        <v>966585.69</v>
      </c>
      <c r="AM466" s="40" t="s">
        <v>623</v>
      </c>
    </row>
    <row r="467" spans="1:39" ht="15.75" customHeight="1" x14ac:dyDescent="0.25">
      <c r="A467" s="59" t="s">
        <v>726</v>
      </c>
      <c r="B467" s="284"/>
      <c r="C467" s="43"/>
      <c r="D467" s="43"/>
      <c r="E467" s="43"/>
      <c r="F467" s="43"/>
      <c r="G467" s="14"/>
      <c r="H467" s="75"/>
      <c r="I467" s="44"/>
      <c r="J467" s="45"/>
      <c r="K467" s="45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121"/>
      <c r="AB467" s="47"/>
      <c r="AC467" s="158"/>
      <c r="AD467" s="44"/>
      <c r="AE467" s="46"/>
      <c r="AF467" s="44"/>
      <c r="AG467" s="153"/>
      <c r="AH467" s="55" t="s">
        <v>638</v>
      </c>
      <c r="AI467" s="44">
        <v>6130033</v>
      </c>
      <c r="AJ467" s="75">
        <v>44020</v>
      </c>
      <c r="AK467" s="158">
        <v>696627.86</v>
      </c>
      <c r="AL467" s="44"/>
      <c r="AM467" s="48" t="s">
        <v>623</v>
      </c>
    </row>
    <row r="468" spans="1:39" ht="15.75" customHeight="1" x14ac:dyDescent="0.25">
      <c r="A468" s="59" t="s">
        <v>726</v>
      </c>
      <c r="B468" s="282" t="s">
        <v>639</v>
      </c>
      <c r="C468" s="33"/>
      <c r="D468" s="33"/>
      <c r="E468" s="33"/>
      <c r="F468" s="33"/>
      <c r="G468" s="11">
        <v>6</v>
      </c>
      <c r="H468" s="57">
        <v>44197</v>
      </c>
      <c r="I468" s="49">
        <v>8599885</v>
      </c>
      <c r="J468" s="53">
        <v>398017.45</v>
      </c>
      <c r="K468" s="53">
        <v>398017.45</v>
      </c>
      <c r="L468" s="57">
        <v>44243</v>
      </c>
      <c r="M468" s="49">
        <v>180</v>
      </c>
      <c r="N468" s="57">
        <f>L468+M468</f>
        <v>44423</v>
      </c>
      <c r="O468" s="49" t="s">
        <v>640</v>
      </c>
      <c r="P468" s="49">
        <v>8600864</v>
      </c>
      <c r="Q468" s="49" t="s">
        <v>640</v>
      </c>
      <c r="R468" s="49">
        <v>8600864</v>
      </c>
      <c r="S468" s="49"/>
      <c r="T468" s="49"/>
      <c r="U468" s="49"/>
      <c r="V468" s="49"/>
      <c r="W468" s="49"/>
      <c r="X468" s="49"/>
      <c r="Y468" s="49"/>
      <c r="Z468" s="49">
        <v>471</v>
      </c>
      <c r="AA468" s="122">
        <v>9389387</v>
      </c>
      <c r="AB468" s="50">
        <v>44312</v>
      </c>
      <c r="AC468" s="156">
        <v>57207.53</v>
      </c>
      <c r="AD468" s="49" t="s">
        <v>641</v>
      </c>
      <c r="AE468" s="56">
        <v>8489319</v>
      </c>
      <c r="AF468" s="57">
        <v>44242</v>
      </c>
      <c r="AG468" s="152">
        <v>398017.45</v>
      </c>
      <c r="AH468" s="35" t="s">
        <v>642</v>
      </c>
      <c r="AI468" s="49">
        <v>9936332</v>
      </c>
      <c r="AJ468" s="57">
        <v>44350</v>
      </c>
      <c r="AK468" s="156">
        <v>57207.53</v>
      </c>
      <c r="AL468" s="49"/>
      <c r="AM468" s="36" t="s">
        <v>623</v>
      </c>
    </row>
    <row r="469" spans="1:39" ht="15.75" customHeight="1" x14ac:dyDescent="0.25">
      <c r="A469" s="59" t="s">
        <v>726</v>
      </c>
      <c r="B469" s="283"/>
      <c r="C469" s="7"/>
      <c r="D469" s="7"/>
      <c r="E469" s="7"/>
      <c r="F469" s="7"/>
      <c r="G469" s="26"/>
      <c r="H469" s="59"/>
      <c r="J469" s="39"/>
      <c r="K469" s="39"/>
      <c r="Z469" s="58">
        <v>490</v>
      </c>
      <c r="AA469" s="64">
        <v>10474751</v>
      </c>
      <c r="AB469" s="38">
        <v>44400</v>
      </c>
      <c r="AC469" s="157">
        <v>76531.28</v>
      </c>
      <c r="AD469" s="58" t="s">
        <v>643</v>
      </c>
      <c r="AE469" s="42">
        <v>9747239</v>
      </c>
      <c r="AF469" s="59">
        <v>44343</v>
      </c>
      <c r="AG469" s="155">
        <v>398017.45</v>
      </c>
      <c r="AH469" s="169" t="s">
        <v>644</v>
      </c>
      <c r="AI469" s="58">
        <v>10845927</v>
      </c>
      <c r="AJ469" s="59">
        <v>44411</v>
      </c>
      <c r="AK469" s="157">
        <v>76531.28</v>
      </c>
      <c r="AM469" s="40" t="s">
        <v>623</v>
      </c>
    </row>
    <row r="470" spans="1:39" ht="15.75" customHeight="1" x14ac:dyDescent="0.25">
      <c r="A470" s="59" t="s">
        <v>726</v>
      </c>
      <c r="B470" s="283"/>
      <c r="C470" s="7"/>
      <c r="D470" s="7"/>
      <c r="E470" s="7"/>
      <c r="F470" s="7"/>
      <c r="G470" s="26"/>
      <c r="H470" s="59"/>
      <c r="J470" s="39"/>
      <c r="K470" s="39"/>
      <c r="Z470" s="58">
        <v>549</v>
      </c>
      <c r="AA470" s="64">
        <v>13667787</v>
      </c>
      <c r="AB470" s="38">
        <v>44637</v>
      </c>
      <c r="AC470" s="157">
        <v>73418.55</v>
      </c>
      <c r="AD470" s="58" t="s">
        <v>645</v>
      </c>
      <c r="AE470" s="42">
        <v>16498282</v>
      </c>
      <c r="AF470" s="59">
        <v>44824</v>
      </c>
      <c r="AG470" s="155">
        <v>190860.09</v>
      </c>
      <c r="AH470" s="169" t="s">
        <v>646</v>
      </c>
      <c r="AI470" s="58">
        <v>14870530</v>
      </c>
      <c r="AJ470" s="59">
        <v>44657</v>
      </c>
      <c r="AK470" s="157">
        <v>73418.55</v>
      </c>
      <c r="AM470" s="40" t="s">
        <v>623</v>
      </c>
    </row>
    <row r="471" spans="1:39" ht="15.75" customHeight="1" x14ac:dyDescent="0.25">
      <c r="A471" s="59" t="s">
        <v>726</v>
      </c>
      <c r="B471" s="283"/>
      <c r="C471" s="7"/>
      <c r="D471" s="7"/>
      <c r="E471" s="7"/>
      <c r="F471" s="7"/>
      <c r="G471" s="26"/>
      <c r="H471" s="59"/>
      <c r="J471" s="39"/>
      <c r="K471" s="39"/>
      <c r="Z471" s="58">
        <v>586</v>
      </c>
      <c r="AA471" s="64">
        <v>15861659</v>
      </c>
      <c r="AB471" s="38">
        <v>44770</v>
      </c>
      <c r="AC471" s="157">
        <v>142013.66</v>
      </c>
      <c r="AD471" s="58" t="s">
        <v>647</v>
      </c>
      <c r="AE471" s="42">
        <v>18140434</v>
      </c>
      <c r="AF471" s="59">
        <v>44926</v>
      </c>
      <c r="AG471" s="155">
        <v>22144.55</v>
      </c>
      <c r="AH471" s="169" t="s">
        <v>648</v>
      </c>
      <c r="AI471" s="58">
        <v>16687339</v>
      </c>
      <c r="AJ471" s="59">
        <v>44832</v>
      </c>
      <c r="AK471" s="157">
        <v>142013.66</v>
      </c>
      <c r="AM471" s="40" t="s">
        <v>623</v>
      </c>
    </row>
    <row r="472" spans="1:39" ht="15.75" customHeight="1" x14ac:dyDescent="0.25">
      <c r="A472" s="59" t="s">
        <v>726</v>
      </c>
      <c r="B472" s="283"/>
      <c r="C472" s="7"/>
      <c r="D472" s="7"/>
      <c r="E472" s="7"/>
      <c r="F472" s="7"/>
      <c r="G472" s="26"/>
      <c r="H472" s="59"/>
      <c r="J472" s="39"/>
      <c r="K472" s="39"/>
      <c r="Z472" s="58">
        <v>629</v>
      </c>
      <c r="AA472" s="64">
        <v>17600882</v>
      </c>
      <c r="AB472" s="38">
        <v>44895</v>
      </c>
      <c r="AC472" s="157">
        <v>134023.46</v>
      </c>
      <c r="AE472" s="42"/>
      <c r="AG472" s="155"/>
      <c r="AH472" s="169" t="s">
        <v>649</v>
      </c>
      <c r="AI472" s="58">
        <v>20158648</v>
      </c>
      <c r="AJ472" s="59">
        <v>44921</v>
      </c>
      <c r="AK472" s="157">
        <v>121739.86</v>
      </c>
      <c r="AM472" s="40" t="s">
        <v>623</v>
      </c>
    </row>
    <row r="473" spans="1:39" ht="15.75" customHeight="1" x14ac:dyDescent="0.25">
      <c r="A473" s="59" t="s">
        <v>726</v>
      </c>
      <c r="B473" s="284"/>
      <c r="C473" s="43"/>
      <c r="D473" s="43"/>
      <c r="E473" s="43"/>
      <c r="F473" s="43"/>
      <c r="G473" s="14"/>
      <c r="H473" s="75"/>
      <c r="I473" s="44"/>
      <c r="J473" s="45"/>
      <c r="K473" s="45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121"/>
      <c r="AB473" s="47"/>
      <c r="AC473" s="158"/>
      <c r="AD473" s="44"/>
      <c r="AE473" s="46"/>
      <c r="AF473" s="44"/>
      <c r="AG473" s="153"/>
      <c r="AH473" s="55" t="s">
        <v>650</v>
      </c>
      <c r="AI473" s="44">
        <v>20158839</v>
      </c>
      <c r="AJ473" s="75">
        <v>44959</v>
      </c>
      <c r="AK473" s="158">
        <v>45990.27</v>
      </c>
      <c r="AL473" s="44"/>
      <c r="AM473" s="48" t="s">
        <v>623</v>
      </c>
    </row>
    <row r="474" spans="1:39" ht="15.75" customHeight="1" x14ac:dyDescent="0.25">
      <c r="A474" s="59" t="s">
        <v>726</v>
      </c>
      <c r="B474" s="282" t="s">
        <v>651</v>
      </c>
      <c r="C474" s="33"/>
      <c r="D474" s="33"/>
      <c r="E474" s="33"/>
      <c r="F474" s="33"/>
      <c r="G474" s="11">
        <v>1</v>
      </c>
      <c r="H474" s="57">
        <v>43466</v>
      </c>
      <c r="I474" s="49">
        <v>1604246</v>
      </c>
      <c r="J474" s="53">
        <v>38400</v>
      </c>
      <c r="K474" s="53">
        <v>38400</v>
      </c>
      <c r="L474" s="57">
        <v>43479</v>
      </c>
      <c r="M474" s="49">
        <v>90</v>
      </c>
      <c r="N474" s="57">
        <f>L474+M474</f>
        <v>43569</v>
      </c>
      <c r="O474" s="49" t="s">
        <v>494</v>
      </c>
      <c r="P474" s="49">
        <v>1604246</v>
      </c>
      <c r="Q474" s="49" t="s">
        <v>494</v>
      </c>
      <c r="R474" s="49">
        <v>1604246</v>
      </c>
      <c r="S474" s="49"/>
      <c r="T474" s="49"/>
      <c r="U474" s="49"/>
      <c r="V474" s="49"/>
      <c r="W474" s="49"/>
      <c r="X474" s="49"/>
      <c r="Y474" s="49"/>
      <c r="Z474" s="49">
        <v>145348</v>
      </c>
      <c r="AA474" s="122">
        <v>4414420</v>
      </c>
      <c r="AB474" s="50">
        <v>43790</v>
      </c>
      <c r="AC474" s="156">
        <v>38400</v>
      </c>
      <c r="AD474" s="49" t="s">
        <v>652</v>
      </c>
      <c r="AE474" s="49">
        <v>1886829</v>
      </c>
      <c r="AF474" s="57">
        <v>43556</v>
      </c>
      <c r="AG474" s="152">
        <v>38400</v>
      </c>
      <c r="AH474" s="35"/>
      <c r="AI474" s="49"/>
      <c r="AJ474" s="57"/>
      <c r="AK474" s="156"/>
      <c r="AL474" s="49"/>
      <c r="AM474" s="36"/>
    </row>
    <row r="475" spans="1:39" ht="15.75" customHeight="1" x14ac:dyDescent="0.25">
      <c r="A475" s="59" t="s">
        <v>726</v>
      </c>
      <c r="B475" s="284"/>
      <c r="C475" s="43"/>
      <c r="D475" s="43"/>
      <c r="E475" s="43"/>
      <c r="F475" s="43"/>
      <c r="G475" s="14"/>
      <c r="H475" s="75"/>
      <c r="I475" s="44"/>
      <c r="J475" s="45"/>
      <c r="K475" s="45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121"/>
      <c r="AB475" s="47"/>
      <c r="AC475" s="158"/>
      <c r="AD475" s="44" t="s">
        <v>653</v>
      </c>
      <c r="AE475" s="46">
        <v>3726394</v>
      </c>
      <c r="AF475" s="75">
        <v>43762</v>
      </c>
      <c r="AG475" s="153">
        <v>38400</v>
      </c>
      <c r="AH475" s="55" t="s">
        <v>654</v>
      </c>
      <c r="AI475" s="44">
        <v>5283363</v>
      </c>
      <c r="AJ475" s="75">
        <v>43868</v>
      </c>
      <c r="AK475" s="158">
        <v>38400</v>
      </c>
      <c r="AL475" s="44"/>
      <c r="AM475" s="48" t="s">
        <v>50</v>
      </c>
    </row>
    <row r="476" spans="1:39" ht="15.75" customHeight="1" x14ac:dyDescent="0.25">
      <c r="A476" s="59" t="s">
        <v>726</v>
      </c>
      <c r="B476" s="66" t="s">
        <v>655</v>
      </c>
      <c r="C476" s="67"/>
      <c r="D476" s="67"/>
      <c r="E476" s="67"/>
      <c r="F476" s="67"/>
      <c r="G476" s="21">
        <v>2</v>
      </c>
      <c r="H476" s="69">
        <v>43466</v>
      </c>
      <c r="I476" s="70">
        <v>2794014</v>
      </c>
      <c r="J476" s="68">
        <v>227196</v>
      </c>
      <c r="K476" s="68">
        <v>227196</v>
      </c>
      <c r="L476" s="69">
        <v>43624</v>
      </c>
      <c r="M476" s="70">
        <v>90</v>
      </c>
      <c r="N476" s="69">
        <f>L476+M476</f>
        <v>43714</v>
      </c>
      <c r="O476" s="70" t="s">
        <v>497</v>
      </c>
      <c r="P476" s="70">
        <v>2723270</v>
      </c>
      <c r="Q476" s="70" t="s">
        <v>497</v>
      </c>
      <c r="R476" s="70">
        <v>2723270</v>
      </c>
      <c r="S476" s="70"/>
      <c r="T476" s="70"/>
      <c r="U476" s="70"/>
      <c r="V476" s="70"/>
      <c r="W476" s="70">
        <v>3734380</v>
      </c>
      <c r="X476" s="70" t="s">
        <v>656</v>
      </c>
      <c r="Y476" s="70"/>
      <c r="Z476" s="70">
        <v>161687</v>
      </c>
      <c r="AA476" s="124">
        <v>3681423</v>
      </c>
      <c r="AB476" s="73">
        <v>43707</v>
      </c>
      <c r="AC476" s="162">
        <v>227196</v>
      </c>
      <c r="AD476" s="70" t="s">
        <v>657</v>
      </c>
      <c r="AE476" s="71">
        <v>2800630</v>
      </c>
      <c r="AF476" s="69">
        <v>43663</v>
      </c>
      <c r="AG476" s="154">
        <v>227196</v>
      </c>
      <c r="AH476" s="74" t="s">
        <v>658</v>
      </c>
      <c r="AI476" s="70">
        <v>3916127</v>
      </c>
      <c r="AJ476" s="69">
        <v>43768</v>
      </c>
      <c r="AK476" s="162">
        <v>227196</v>
      </c>
      <c r="AL476" s="70"/>
      <c r="AM476" s="72" t="s">
        <v>659</v>
      </c>
    </row>
    <row r="477" spans="1:39" ht="15.75" customHeight="1" x14ac:dyDescent="0.25">
      <c r="A477" s="59" t="s">
        <v>726</v>
      </c>
      <c r="B477" s="282" t="s">
        <v>553</v>
      </c>
      <c r="C477" s="33"/>
      <c r="D477" s="33"/>
      <c r="E477" s="33"/>
      <c r="F477" s="33"/>
      <c r="G477" s="11">
        <v>15</v>
      </c>
      <c r="H477" s="57">
        <v>43466</v>
      </c>
      <c r="I477" s="49">
        <v>3860578</v>
      </c>
      <c r="J477" s="53">
        <v>1591072.8</v>
      </c>
      <c r="K477" s="53">
        <v>1591072.8</v>
      </c>
      <c r="L477" s="57">
        <v>43768</v>
      </c>
      <c r="M477" s="49">
        <v>120</v>
      </c>
      <c r="N477" s="57">
        <f>L477+M477</f>
        <v>43888</v>
      </c>
      <c r="O477" s="49" t="s">
        <v>494</v>
      </c>
      <c r="P477" s="49">
        <v>4235915</v>
      </c>
      <c r="Q477" s="49" t="s">
        <v>494</v>
      </c>
      <c r="R477" s="49">
        <v>4235915</v>
      </c>
      <c r="S477" s="49"/>
      <c r="T477" s="49"/>
      <c r="U477" s="49"/>
      <c r="V477" s="49"/>
      <c r="W477" s="49">
        <v>4418880</v>
      </c>
      <c r="X477" s="49" t="s">
        <v>660</v>
      </c>
      <c r="Y477" s="49"/>
      <c r="Z477" s="49">
        <v>22698</v>
      </c>
      <c r="AA477" s="122">
        <v>4246567</v>
      </c>
      <c r="AB477" s="50">
        <v>43809</v>
      </c>
      <c r="AC477" s="156">
        <v>1457746.6</v>
      </c>
      <c r="AD477" s="49" t="s">
        <v>555</v>
      </c>
      <c r="AE477" s="56">
        <v>3912497</v>
      </c>
      <c r="AF477" s="57">
        <v>43782</v>
      </c>
      <c r="AG477" s="152">
        <v>1457746.6</v>
      </c>
      <c r="AH477" s="278" t="s">
        <v>556</v>
      </c>
      <c r="AI477" s="278">
        <v>4320141</v>
      </c>
      <c r="AJ477" s="280">
        <v>44914</v>
      </c>
      <c r="AK477" s="156">
        <v>1457746.6</v>
      </c>
      <c r="AL477" s="49"/>
      <c r="AM477" s="36" t="s">
        <v>53</v>
      </c>
    </row>
    <row r="478" spans="1:39" ht="15.75" customHeight="1" x14ac:dyDescent="0.25">
      <c r="A478" s="59" t="s">
        <v>726</v>
      </c>
      <c r="B478" s="284"/>
      <c r="C478" s="43"/>
      <c r="D478" s="43"/>
      <c r="E478" s="43"/>
      <c r="F478" s="43"/>
      <c r="G478" s="14"/>
      <c r="H478" s="75"/>
      <c r="I478" s="44"/>
      <c r="J478" s="45"/>
      <c r="K478" s="45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>
        <v>22699</v>
      </c>
      <c r="AA478" s="121">
        <v>4246615</v>
      </c>
      <c r="AB478" s="47">
        <v>43809</v>
      </c>
      <c r="AC478" s="158">
        <v>133326.20000000001</v>
      </c>
      <c r="AD478" s="44" t="s">
        <v>557</v>
      </c>
      <c r="AE478" s="46">
        <v>3912534</v>
      </c>
      <c r="AF478" s="75">
        <v>43782</v>
      </c>
      <c r="AG478" s="153">
        <v>133326.20000000001</v>
      </c>
      <c r="AH478" s="299"/>
      <c r="AI478" s="279"/>
      <c r="AJ478" s="279"/>
      <c r="AK478" s="158">
        <v>133326.20000000001</v>
      </c>
      <c r="AL478" s="44"/>
      <c r="AM478" s="48" t="s">
        <v>53</v>
      </c>
    </row>
    <row r="479" spans="1:39" ht="15.75" customHeight="1" x14ac:dyDescent="0.25">
      <c r="A479" s="59" t="s">
        <v>726</v>
      </c>
      <c r="B479" s="19" t="s">
        <v>661</v>
      </c>
      <c r="C479" s="67"/>
      <c r="D479" s="67"/>
      <c r="E479" s="67"/>
      <c r="F479" s="67"/>
      <c r="G479" s="21">
        <v>4</v>
      </c>
      <c r="H479" s="69">
        <v>43466</v>
      </c>
      <c r="I479" s="70">
        <v>2832322</v>
      </c>
      <c r="J479" s="68">
        <v>631149.4</v>
      </c>
      <c r="K479" s="68">
        <v>631149.4</v>
      </c>
      <c r="L479" s="69">
        <v>43663</v>
      </c>
      <c r="M479" s="70">
        <v>120</v>
      </c>
      <c r="N479" s="69">
        <f>L479+M479</f>
        <v>43783</v>
      </c>
      <c r="O479" s="70" t="s">
        <v>497</v>
      </c>
      <c r="P479" s="70">
        <v>3594681</v>
      </c>
      <c r="Q479" s="70" t="s">
        <v>497</v>
      </c>
      <c r="R479" s="70">
        <v>3594681</v>
      </c>
      <c r="S479" s="70"/>
      <c r="T479" s="70"/>
      <c r="U479" s="70"/>
      <c r="V479" s="70"/>
      <c r="W479" s="70">
        <v>3762958</v>
      </c>
      <c r="X479" s="70" t="s">
        <v>662</v>
      </c>
      <c r="Y479" s="70"/>
      <c r="Z479" s="70">
        <v>735064</v>
      </c>
      <c r="AA479" s="124">
        <v>3748978</v>
      </c>
      <c r="AB479" s="73">
        <v>43733</v>
      </c>
      <c r="AC479" s="162">
        <v>631149.4</v>
      </c>
      <c r="AD479" s="70" t="s">
        <v>663</v>
      </c>
      <c r="AE479" s="71">
        <v>2868352</v>
      </c>
      <c r="AF479" s="69">
        <v>43670</v>
      </c>
      <c r="AG479" s="154">
        <v>631149.4</v>
      </c>
      <c r="AH479" s="74" t="s">
        <v>664</v>
      </c>
      <c r="AI479" s="70">
        <v>3916054</v>
      </c>
      <c r="AJ479" s="69">
        <v>43769</v>
      </c>
      <c r="AK479" s="162">
        <v>631149.4</v>
      </c>
      <c r="AL479" s="70"/>
      <c r="AM479" s="72" t="s">
        <v>659</v>
      </c>
    </row>
    <row r="480" spans="1:39" ht="15.75" customHeight="1" x14ac:dyDescent="0.25">
      <c r="A480" s="59" t="s">
        <v>726</v>
      </c>
      <c r="B480" s="282" t="s">
        <v>665</v>
      </c>
      <c r="C480" s="33"/>
      <c r="D480" s="33"/>
      <c r="E480" s="33"/>
      <c r="F480" s="33"/>
      <c r="G480" s="285">
        <v>25</v>
      </c>
      <c r="H480" s="280">
        <v>43466</v>
      </c>
      <c r="I480" s="278">
        <v>4296447</v>
      </c>
      <c r="J480" s="53">
        <v>119399.99</v>
      </c>
      <c r="K480" s="303">
        <v>427020.97</v>
      </c>
      <c r="L480" s="280">
        <v>43812</v>
      </c>
      <c r="M480" s="278">
        <v>60</v>
      </c>
      <c r="N480" s="280">
        <f>L480+M480</f>
        <v>43872</v>
      </c>
      <c r="O480" s="278" t="s">
        <v>666</v>
      </c>
      <c r="P480" s="278">
        <v>5444451</v>
      </c>
      <c r="Q480" s="278" t="s">
        <v>666</v>
      </c>
      <c r="R480" s="278">
        <v>5444451</v>
      </c>
      <c r="S480" s="49"/>
      <c r="T480" s="49"/>
      <c r="U480" s="49"/>
      <c r="V480" s="49"/>
      <c r="W480" s="278">
        <v>7244995</v>
      </c>
      <c r="X480" s="77" t="s">
        <v>667</v>
      </c>
      <c r="Y480" s="49"/>
      <c r="Z480" s="49">
        <v>497</v>
      </c>
      <c r="AA480" s="300">
        <v>6460111</v>
      </c>
      <c r="AB480" s="50">
        <v>43950</v>
      </c>
      <c r="AC480" s="156">
        <v>68830</v>
      </c>
      <c r="AD480" s="49" t="s">
        <v>668</v>
      </c>
      <c r="AE480" s="56">
        <v>5300651</v>
      </c>
      <c r="AF480" s="57">
        <v>43936</v>
      </c>
      <c r="AG480" s="152">
        <v>427029.97</v>
      </c>
      <c r="AH480" s="278" t="s">
        <v>669</v>
      </c>
      <c r="AI480" s="278">
        <v>7273020</v>
      </c>
      <c r="AJ480" s="280">
        <v>44123</v>
      </c>
      <c r="AK480" s="156">
        <v>427029.97</v>
      </c>
      <c r="AL480" s="49"/>
      <c r="AM480" s="36" t="s">
        <v>659</v>
      </c>
    </row>
    <row r="481" spans="1:39" ht="15.75" customHeight="1" x14ac:dyDescent="0.25">
      <c r="A481" s="59" t="s">
        <v>726</v>
      </c>
      <c r="B481" s="283"/>
      <c r="C481" s="7"/>
      <c r="D481" s="7"/>
      <c r="E481" s="7"/>
      <c r="F481" s="7"/>
      <c r="G481" s="286"/>
      <c r="H481" s="271"/>
      <c r="I481" s="271"/>
      <c r="J481" s="39">
        <v>68830</v>
      </c>
      <c r="K481" s="271"/>
      <c r="L481" s="271"/>
      <c r="M481" s="271"/>
      <c r="N481" s="271"/>
      <c r="O481" s="271"/>
      <c r="P481" s="271"/>
      <c r="Q481" s="271"/>
      <c r="R481" s="271"/>
      <c r="W481" s="271"/>
      <c r="X481" s="78" t="s">
        <v>670</v>
      </c>
      <c r="Z481" s="58">
        <v>498</v>
      </c>
      <c r="AA481" s="271"/>
      <c r="AB481" s="38">
        <v>43950</v>
      </c>
      <c r="AC481" s="157">
        <v>119399.99</v>
      </c>
      <c r="AE481" s="42"/>
      <c r="AG481" s="155"/>
      <c r="AH481" s="301"/>
      <c r="AI481" s="271"/>
      <c r="AJ481" s="271"/>
      <c r="AK481" s="157"/>
      <c r="AM481" s="40"/>
    </row>
    <row r="482" spans="1:39" ht="15.75" customHeight="1" x14ac:dyDescent="0.25">
      <c r="A482" s="59" t="s">
        <v>726</v>
      </c>
      <c r="B482" s="283"/>
      <c r="C482" s="7"/>
      <c r="D482" s="7"/>
      <c r="E482" s="7"/>
      <c r="F482" s="7"/>
      <c r="G482" s="286"/>
      <c r="H482" s="271"/>
      <c r="I482" s="271"/>
      <c r="J482" s="39"/>
      <c r="K482" s="39"/>
      <c r="Z482" s="58">
        <v>499</v>
      </c>
      <c r="AA482" s="271"/>
      <c r="AB482" s="38">
        <v>43950</v>
      </c>
      <c r="AC482" s="157">
        <v>119399.99</v>
      </c>
      <c r="AE482" s="42"/>
      <c r="AG482" s="155"/>
      <c r="AH482" s="301"/>
      <c r="AI482" s="271"/>
      <c r="AJ482" s="271"/>
      <c r="AK482" s="157"/>
      <c r="AM482" s="40"/>
    </row>
    <row r="483" spans="1:39" ht="15.75" customHeight="1" x14ac:dyDescent="0.25">
      <c r="A483" s="59" t="s">
        <v>726</v>
      </c>
      <c r="B483" s="283"/>
      <c r="C483" s="7"/>
      <c r="D483" s="7"/>
      <c r="E483" s="7"/>
      <c r="F483" s="7"/>
      <c r="G483" s="286"/>
      <c r="H483" s="271"/>
      <c r="I483" s="271"/>
      <c r="J483" s="39"/>
      <c r="K483" s="39"/>
      <c r="Z483" s="58">
        <v>500</v>
      </c>
      <c r="AA483" s="271"/>
      <c r="AB483" s="38">
        <v>43950</v>
      </c>
      <c r="AC483" s="157">
        <v>119399.99</v>
      </c>
      <c r="AE483" s="42"/>
      <c r="AG483" s="155"/>
      <c r="AH483" s="301"/>
      <c r="AI483" s="271"/>
      <c r="AJ483" s="271"/>
      <c r="AK483" s="157"/>
      <c r="AM483" s="40"/>
    </row>
    <row r="484" spans="1:39" ht="15.75" customHeight="1" x14ac:dyDescent="0.25">
      <c r="A484" s="59" t="s">
        <v>726</v>
      </c>
      <c r="B484" s="284"/>
      <c r="C484" s="43"/>
      <c r="D484" s="43"/>
      <c r="E484" s="43"/>
      <c r="F484" s="43"/>
      <c r="G484" s="287"/>
      <c r="H484" s="279"/>
      <c r="I484" s="279"/>
      <c r="J484" s="45"/>
      <c r="K484" s="45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121"/>
      <c r="AB484" s="47"/>
      <c r="AC484" s="158"/>
      <c r="AD484" s="44"/>
      <c r="AE484" s="46"/>
      <c r="AF484" s="44"/>
      <c r="AG484" s="153"/>
      <c r="AH484" s="299"/>
      <c r="AI484" s="279"/>
      <c r="AJ484" s="279"/>
      <c r="AK484" s="158"/>
      <c r="AL484" s="44"/>
      <c r="AM484" s="48"/>
    </row>
    <row r="485" spans="1:39" ht="15.75" customHeight="1" x14ac:dyDescent="0.25">
      <c r="A485" s="59" t="s">
        <v>726</v>
      </c>
      <c r="B485" s="282" t="s">
        <v>671</v>
      </c>
      <c r="C485" s="33"/>
      <c r="D485" s="33"/>
      <c r="E485" s="33"/>
      <c r="F485" s="33"/>
      <c r="G485" s="104">
        <v>16</v>
      </c>
      <c r="H485" s="105">
        <v>41640</v>
      </c>
      <c r="I485" s="106">
        <v>5257240</v>
      </c>
      <c r="J485" s="107">
        <v>2970240</v>
      </c>
      <c r="K485" s="107">
        <v>2970240</v>
      </c>
      <c r="L485" s="105">
        <v>41949</v>
      </c>
      <c r="M485" s="108">
        <v>365</v>
      </c>
      <c r="N485" s="105">
        <f>L485+M485</f>
        <v>42314</v>
      </c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122"/>
      <c r="AB485" s="50"/>
      <c r="AC485" s="156"/>
      <c r="AD485" s="108" t="s">
        <v>672</v>
      </c>
      <c r="AE485" s="109">
        <v>5257314</v>
      </c>
      <c r="AF485" s="105">
        <v>42796</v>
      </c>
      <c r="AG485" s="252">
        <v>681120</v>
      </c>
      <c r="AH485" s="35"/>
      <c r="AI485" s="49"/>
      <c r="AJ485" s="57"/>
      <c r="AK485" s="156"/>
      <c r="AL485" s="49"/>
      <c r="AM485" s="36"/>
    </row>
    <row r="486" spans="1:39" ht="15.75" customHeight="1" x14ac:dyDescent="0.25">
      <c r="A486" s="59" t="s">
        <v>726</v>
      </c>
      <c r="B486" s="283"/>
      <c r="C486" s="7"/>
      <c r="D486" s="7"/>
      <c r="E486" s="7"/>
      <c r="F486" s="7"/>
      <c r="G486" s="26"/>
      <c r="H486" s="59"/>
      <c r="J486" s="39"/>
      <c r="K486" s="39"/>
      <c r="AA486" s="64"/>
      <c r="AC486" s="157"/>
      <c r="AD486" s="110" t="s">
        <v>673</v>
      </c>
      <c r="AE486" s="111">
        <v>5257314</v>
      </c>
      <c r="AF486" s="112">
        <v>41670</v>
      </c>
      <c r="AG486" s="253">
        <v>6237000</v>
      </c>
      <c r="AJ486" s="123"/>
      <c r="AK486" s="157"/>
      <c r="AM486" s="40"/>
    </row>
    <row r="487" spans="1:39" ht="15.75" customHeight="1" x14ac:dyDescent="0.25">
      <c r="A487" s="59" t="s">
        <v>726</v>
      </c>
      <c r="B487" s="283"/>
      <c r="C487" s="7"/>
      <c r="D487" s="7"/>
      <c r="E487" s="7"/>
      <c r="F487" s="7"/>
      <c r="G487" s="26">
        <v>4</v>
      </c>
      <c r="H487" s="59">
        <v>42736</v>
      </c>
      <c r="I487" s="58">
        <v>5257525</v>
      </c>
      <c r="J487" s="39">
        <v>210.75</v>
      </c>
      <c r="K487" s="273">
        <v>10999992</v>
      </c>
      <c r="L487" s="274">
        <v>42887</v>
      </c>
      <c r="M487" s="275">
        <v>365</v>
      </c>
      <c r="N487" s="274">
        <f>L487+M487</f>
        <v>43252</v>
      </c>
      <c r="AA487" s="64"/>
      <c r="AC487" s="157"/>
      <c r="AD487" s="58" t="s">
        <v>674</v>
      </c>
      <c r="AE487" s="42">
        <v>5258376</v>
      </c>
      <c r="AF487" s="59">
        <v>43185</v>
      </c>
      <c r="AG487" s="155">
        <v>1073664</v>
      </c>
      <c r="AJ487" s="123"/>
      <c r="AK487" s="157"/>
      <c r="AM487" s="40"/>
    </row>
    <row r="488" spans="1:39" ht="15.75" customHeight="1" x14ac:dyDescent="0.25">
      <c r="A488" s="59" t="s">
        <v>726</v>
      </c>
      <c r="B488" s="283"/>
      <c r="C488" s="7"/>
      <c r="D488" s="7"/>
      <c r="E488" s="7"/>
      <c r="F488" s="7"/>
      <c r="G488" s="26"/>
      <c r="H488" s="59"/>
      <c r="J488" s="39">
        <v>93.26</v>
      </c>
      <c r="K488" s="271"/>
      <c r="L488" s="271"/>
      <c r="M488" s="271"/>
      <c r="N488" s="271"/>
      <c r="AA488" s="64"/>
      <c r="AC488" s="157"/>
      <c r="AD488" s="58" t="s">
        <v>675</v>
      </c>
      <c r="AE488" s="42">
        <v>5260107</v>
      </c>
      <c r="AF488" s="59">
        <v>43599</v>
      </c>
      <c r="AG488" s="155">
        <v>1282944</v>
      </c>
      <c r="AJ488" s="123"/>
      <c r="AK488" s="157"/>
      <c r="AM488" s="40"/>
    </row>
    <row r="489" spans="1:39" ht="15.75" customHeight="1" x14ac:dyDescent="0.25">
      <c r="A489" s="59" t="s">
        <v>726</v>
      </c>
      <c r="B489" s="283"/>
      <c r="C489" s="7"/>
      <c r="D489" s="7"/>
      <c r="E489" s="7"/>
      <c r="F489" s="7"/>
      <c r="G489" s="26"/>
      <c r="H489" s="59"/>
      <c r="J489" s="39">
        <v>160.80000000000001</v>
      </c>
      <c r="K489" s="271"/>
      <c r="L489" s="271"/>
      <c r="M489" s="271"/>
      <c r="N489" s="271"/>
      <c r="AA489" s="64"/>
      <c r="AC489" s="157"/>
      <c r="AD489" s="58" t="s">
        <v>676</v>
      </c>
      <c r="AE489" s="58">
        <v>5260280</v>
      </c>
      <c r="AF489" s="59">
        <v>43627</v>
      </c>
      <c r="AG489" s="155">
        <v>1039680</v>
      </c>
      <c r="AJ489" s="123"/>
      <c r="AK489" s="157"/>
      <c r="AM489" s="40"/>
    </row>
    <row r="490" spans="1:39" ht="15.75" customHeight="1" x14ac:dyDescent="0.25">
      <c r="A490" s="59" t="s">
        <v>726</v>
      </c>
      <c r="B490" s="283"/>
      <c r="C490" s="7"/>
      <c r="D490" s="7"/>
      <c r="E490" s="7"/>
      <c r="F490" s="7"/>
      <c r="G490" s="292">
        <v>29</v>
      </c>
      <c r="H490" s="274">
        <v>42736</v>
      </c>
      <c r="I490" s="275">
        <v>5258075</v>
      </c>
      <c r="J490" s="28">
        <v>192</v>
      </c>
      <c r="K490" s="28">
        <v>2147328</v>
      </c>
      <c r="L490" s="274">
        <v>43097</v>
      </c>
      <c r="M490" s="275">
        <v>365</v>
      </c>
      <c r="N490" s="274">
        <f>L490+M490</f>
        <v>43462</v>
      </c>
      <c r="O490" s="275" t="s">
        <v>442</v>
      </c>
      <c r="P490" s="275">
        <v>5258977</v>
      </c>
      <c r="Q490" s="275" t="s">
        <v>442</v>
      </c>
      <c r="R490" s="275">
        <v>5258977</v>
      </c>
      <c r="Z490" s="58">
        <v>964</v>
      </c>
      <c r="AA490" s="64">
        <v>5259098</v>
      </c>
      <c r="AB490" s="38">
        <v>43257</v>
      </c>
      <c r="AC490" s="157">
        <v>26841.599999999999</v>
      </c>
      <c r="AD490" s="58" t="s">
        <v>677</v>
      </c>
      <c r="AE490" s="58">
        <v>5260280</v>
      </c>
      <c r="AF490" s="59">
        <v>43662</v>
      </c>
      <c r="AG490" s="155">
        <v>1039680</v>
      </c>
      <c r="AH490" s="169" t="s">
        <v>678</v>
      </c>
      <c r="AI490" s="58">
        <v>5259098</v>
      </c>
      <c r="AJ490" s="59">
        <v>43257</v>
      </c>
      <c r="AK490" s="157">
        <v>294897.59999999998</v>
      </c>
      <c r="AM490" s="40" t="s">
        <v>50</v>
      </c>
    </row>
    <row r="491" spans="1:39" ht="15.75" customHeight="1" x14ac:dyDescent="0.25">
      <c r="A491" s="59" t="s">
        <v>726</v>
      </c>
      <c r="B491" s="283"/>
      <c r="C491" s="7"/>
      <c r="D491" s="7"/>
      <c r="E491" s="7"/>
      <c r="F491" s="7"/>
      <c r="G491" s="286"/>
      <c r="H491" s="271"/>
      <c r="I491" s="271"/>
      <c r="J491" s="28"/>
      <c r="K491" s="28"/>
      <c r="L491" s="271"/>
      <c r="M491" s="271"/>
      <c r="N491" s="271"/>
      <c r="O491" s="271"/>
      <c r="P491" s="271"/>
      <c r="Q491" s="271"/>
      <c r="R491" s="271"/>
      <c r="Z491" s="58">
        <v>1003</v>
      </c>
      <c r="AA491" s="64">
        <v>5258977</v>
      </c>
      <c r="AB491" s="38">
        <v>43179</v>
      </c>
      <c r="AC491" s="157">
        <v>89472</v>
      </c>
      <c r="AD491" s="58" t="s">
        <v>679</v>
      </c>
      <c r="AE491" s="42">
        <v>5277687</v>
      </c>
      <c r="AF491" s="59">
        <v>43934</v>
      </c>
      <c r="AG491" s="155">
        <v>662400</v>
      </c>
      <c r="AH491" s="169" t="s">
        <v>680</v>
      </c>
      <c r="AI491" s="58">
        <v>5259098</v>
      </c>
      <c r="AJ491" s="59">
        <v>43332</v>
      </c>
      <c r="AK491" s="157">
        <v>183603.20000000001</v>
      </c>
      <c r="AM491" s="40" t="s">
        <v>50</v>
      </c>
    </row>
    <row r="492" spans="1:39" ht="15.75" customHeight="1" x14ac:dyDescent="0.25">
      <c r="A492" s="59" t="s">
        <v>726</v>
      </c>
      <c r="B492" s="283"/>
      <c r="C492" s="7"/>
      <c r="D492" s="7"/>
      <c r="E492" s="7"/>
      <c r="F492" s="7"/>
      <c r="G492" s="286"/>
      <c r="H492" s="271"/>
      <c r="I492" s="271"/>
      <c r="J492" s="28"/>
      <c r="K492" s="28"/>
      <c r="L492" s="271"/>
      <c r="M492" s="271"/>
      <c r="N492" s="271"/>
      <c r="O492" s="271"/>
      <c r="P492" s="271"/>
      <c r="Q492" s="271"/>
      <c r="R492" s="271"/>
      <c r="Z492" s="58">
        <v>1017</v>
      </c>
      <c r="AA492" s="64">
        <v>5258977</v>
      </c>
      <c r="AB492" s="38">
        <v>43194</v>
      </c>
      <c r="AC492" s="157">
        <v>89472</v>
      </c>
      <c r="AD492" s="58" t="s">
        <v>681</v>
      </c>
      <c r="AE492" s="42">
        <v>5420209</v>
      </c>
      <c r="AF492" s="59">
        <v>43950</v>
      </c>
      <c r="AG492" s="155">
        <v>662400</v>
      </c>
      <c r="AH492" s="169" t="s">
        <v>682</v>
      </c>
      <c r="AI492" s="58">
        <v>5259255</v>
      </c>
      <c r="AJ492" s="59">
        <v>43353</v>
      </c>
      <c r="AK492" s="157">
        <v>68416</v>
      </c>
      <c r="AM492" s="40" t="s">
        <v>50</v>
      </c>
    </row>
    <row r="493" spans="1:39" ht="15.75" customHeight="1" x14ac:dyDescent="0.25">
      <c r="A493" s="59" t="s">
        <v>726</v>
      </c>
      <c r="B493" s="283"/>
      <c r="C493" s="7"/>
      <c r="D493" s="7"/>
      <c r="E493" s="7"/>
      <c r="F493" s="7"/>
      <c r="G493" s="286"/>
      <c r="H493" s="271"/>
      <c r="I493" s="271"/>
      <c r="J493" s="28"/>
      <c r="K493" s="28"/>
      <c r="L493" s="271"/>
      <c r="M493" s="271"/>
      <c r="N493" s="271"/>
      <c r="O493" s="271"/>
      <c r="P493" s="271"/>
      <c r="Q493" s="271"/>
      <c r="R493" s="271"/>
      <c r="Z493" s="58">
        <v>1058</v>
      </c>
      <c r="AA493" s="64">
        <v>5258977</v>
      </c>
      <c r="AB493" s="38">
        <v>43224</v>
      </c>
      <c r="AC493" s="157">
        <v>89472</v>
      </c>
      <c r="AE493" s="42"/>
      <c r="AG493" s="155"/>
      <c r="AH493" s="169" t="s">
        <v>683</v>
      </c>
      <c r="AI493" s="58">
        <v>5259698</v>
      </c>
      <c r="AJ493" s="59">
        <v>43538</v>
      </c>
      <c r="AK493" s="157">
        <v>231289.60000000001</v>
      </c>
      <c r="AM493" s="40" t="s">
        <v>50</v>
      </c>
    </row>
    <row r="494" spans="1:39" ht="15.75" customHeight="1" x14ac:dyDescent="0.25">
      <c r="A494" s="59" t="s">
        <v>726</v>
      </c>
      <c r="B494" s="283"/>
      <c r="C494" s="7"/>
      <c r="D494" s="7"/>
      <c r="E494" s="7"/>
      <c r="F494" s="7"/>
      <c r="G494" s="286"/>
      <c r="H494" s="271"/>
      <c r="I494" s="271"/>
      <c r="J494" s="28"/>
      <c r="K494" s="28"/>
      <c r="L494" s="271"/>
      <c r="M494" s="271"/>
      <c r="N494" s="271"/>
      <c r="O494" s="271"/>
      <c r="P494" s="271"/>
      <c r="Q494" s="271"/>
      <c r="R494" s="271"/>
      <c r="Z494" s="58">
        <v>1259</v>
      </c>
      <c r="AA494" s="64">
        <v>5259098</v>
      </c>
      <c r="AB494" s="38">
        <v>43315</v>
      </c>
      <c r="AC494" s="157">
        <v>69574.399999999994</v>
      </c>
      <c r="AE494" s="42"/>
      <c r="AG494" s="155"/>
      <c r="AH494" s="169" t="s">
        <v>684</v>
      </c>
      <c r="AI494" s="42">
        <v>5260107</v>
      </c>
      <c r="AJ494" s="59">
        <v>43613</v>
      </c>
      <c r="AK494" s="157">
        <v>89433.600000000006</v>
      </c>
      <c r="AM494" s="40" t="s">
        <v>50</v>
      </c>
    </row>
    <row r="495" spans="1:39" ht="15.75" customHeight="1" x14ac:dyDescent="0.25">
      <c r="A495" s="59" t="s">
        <v>726</v>
      </c>
      <c r="B495" s="283"/>
      <c r="C495" s="7"/>
      <c r="D495" s="7"/>
      <c r="E495" s="7"/>
      <c r="F495" s="7"/>
      <c r="G495" s="286"/>
      <c r="H495" s="271"/>
      <c r="I495" s="271"/>
      <c r="J495" s="28"/>
      <c r="K495" s="28"/>
      <c r="L495" s="271"/>
      <c r="M495" s="271"/>
      <c r="N495" s="271"/>
      <c r="O495" s="271"/>
      <c r="P495" s="271"/>
      <c r="Q495" s="271"/>
      <c r="R495" s="271"/>
      <c r="Z495" s="58">
        <v>1260</v>
      </c>
      <c r="AA495" s="64">
        <v>5259098</v>
      </c>
      <c r="AB495" s="38">
        <v>43315</v>
      </c>
      <c r="AC495" s="157">
        <v>52505.599999999999</v>
      </c>
      <c r="AE495" s="42"/>
      <c r="AG495" s="155"/>
      <c r="AH495" s="169" t="s">
        <v>685</v>
      </c>
      <c r="AI495" s="58">
        <v>5260280</v>
      </c>
      <c r="AJ495" s="59">
        <v>43613</v>
      </c>
      <c r="AK495" s="157">
        <v>153830.39999999999</v>
      </c>
      <c r="AM495" s="40" t="s">
        <v>50</v>
      </c>
    </row>
    <row r="496" spans="1:39" ht="15.75" customHeight="1" x14ac:dyDescent="0.25">
      <c r="A496" s="59" t="s">
        <v>726</v>
      </c>
      <c r="B496" s="283"/>
      <c r="C496" s="7"/>
      <c r="D496" s="7"/>
      <c r="E496" s="7"/>
      <c r="F496" s="7"/>
      <c r="G496" s="286"/>
      <c r="H496" s="271"/>
      <c r="I496" s="271"/>
      <c r="J496" s="28"/>
      <c r="K496" s="28"/>
      <c r="L496" s="271"/>
      <c r="M496" s="271"/>
      <c r="N496" s="271"/>
      <c r="O496" s="271"/>
      <c r="P496" s="271"/>
      <c r="Q496" s="271"/>
      <c r="R496" s="271"/>
      <c r="Z496" s="58">
        <v>1261</v>
      </c>
      <c r="AA496" s="64">
        <v>5259098</v>
      </c>
      <c r="AB496" s="38">
        <v>43315</v>
      </c>
      <c r="AC496" s="157">
        <v>61523.199999999997</v>
      </c>
      <c r="AE496" s="42"/>
      <c r="AG496" s="155"/>
      <c r="AH496" s="169" t="s">
        <v>686</v>
      </c>
      <c r="AI496" s="58">
        <v>5260714</v>
      </c>
      <c r="AJ496" s="59">
        <v>43733</v>
      </c>
      <c r="AK496" s="157">
        <v>79296</v>
      </c>
      <c r="AM496" s="40" t="s">
        <v>50</v>
      </c>
    </row>
    <row r="497" spans="1:39" ht="15.75" customHeight="1" x14ac:dyDescent="0.25">
      <c r="A497" s="59" t="s">
        <v>726</v>
      </c>
      <c r="B497" s="283"/>
      <c r="C497" s="7"/>
      <c r="D497" s="7"/>
      <c r="E497" s="7"/>
      <c r="F497" s="7"/>
      <c r="G497" s="286"/>
      <c r="H497" s="271"/>
      <c r="I497" s="271"/>
      <c r="J497" s="28"/>
      <c r="K497" s="28"/>
      <c r="L497" s="271"/>
      <c r="M497" s="271"/>
      <c r="N497" s="271"/>
      <c r="O497" s="271"/>
      <c r="P497" s="271"/>
      <c r="Q497" s="271"/>
      <c r="R497" s="271"/>
      <c r="Z497" s="58">
        <v>1355</v>
      </c>
      <c r="AA497" s="64">
        <v>5259098</v>
      </c>
      <c r="AB497" s="38">
        <v>43348</v>
      </c>
      <c r="AC497" s="157">
        <v>68416</v>
      </c>
      <c r="AE497" s="42"/>
      <c r="AG497" s="155"/>
      <c r="AH497" s="169" t="s">
        <v>687</v>
      </c>
      <c r="AI497" s="58">
        <v>5260848</v>
      </c>
      <c r="AJ497" s="59">
        <v>43733</v>
      </c>
      <c r="AK497" s="157">
        <v>83714</v>
      </c>
      <c r="AM497" s="40" t="s">
        <v>50</v>
      </c>
    </row>
    <row r="498" spans="1:39" ht="15.75" customHeight="1" x14ac:dyDescent="0.25">
      <c r="A498" s="59" t="s">
        <v>726</v>
      </c>
      <c r="B498" s="283"/>
      <c r="C498" s="7"/>
      <c r="D498" s="7"/>
      <c r="E498" s="7"/>
      <c r="F498" s="7"/>
      <c r="G498" s="286"/>
      <c r="H498" s="271"/>
      <c r="I498" s="271"/>
      <c r="J498" s="28"/>
      <c r="K498" s="28"/>
      <c r="L498" s="271"/>
      <c r="M498" s="271"/>
      <c r="N498" s="271"/>
      <c r="O498" s="271"/>
      <c r="P498" s="271"/>
      <c r="Q498" s="271"/>
      <c r="R498" s="271"/>
      <c r="Z498" s="58">
        <v>1471</v>
      </c>
      <c r="AA498" s="64">
        <v>5259255</v>
      </c>
      <c r="AB498" s="38">
        <v>43392</v>
      </c>
      <c r="AC498" s="157">
        <v>64691.199999999997</v>
      </c>
      <c r="AE498" s="42"/>
      <c r="AG498" s="155"/>
      <c r="AH498" s="169" t="s">
        <v>688</v>
      </c>
      <c r="AI498" s="58">
        <v>5260848</v>
      </c>
      <c r="AJ498" s="59">
        <v>43740</v>
      </c>
      <c r="AK498" s="157">
        <v>100</v>
      </c>
      <c r="AM498" s="40" t="s">
        <v>50</v>
      </c>
    </row>
    <row r="499" spans="1:39" ht="15.75" customHeight="1" x14ac:dyDescent="0.25">
      <c r="A499" s="59" t="s">
        <v>726</v>
      </c>
      <c r="B499" s="283"/>
      <c r="C499" s="7"/>
      <c r="D499" s="7"/>
      <c r="E499" s="7"/>
      <c r="F499" s="7"/>
      <c r="G499" s="286"/>
      <c r="H499" s="271"/>
      <c r="I499" s="271"/>
      <c r="J499" s="28"/>
      <c r="K499" s="28"/>
      <c r="L499" s="271"/>
      <c r="M499" s="271"/>
      <c r="N499" s="271"/>
      <c r="O499" s="271"/>
      <c r="P499" s="271"/>
      <c r="Q499" s="271"/>
      <c r="R499" s="271"/>
      <c r="Z499" s="58">
        <v>1626</v>
      </c>
      <c r="AA499" s="64">
        <v>5259698</v>
      </c>
      <c r="AB499" s="38">
        <v>43472</v>
      </c>
      <c r="AC499" s="157">
        <v>63929.599999999999</v>
      </c>
      <c r="AE499" s="42"/>
      <c r="AG499" s="155"/>
      <c r="AH499" s="169" t="s">
        <v>689</v>
      </c>
      <c r="AI499" s="58">
        <v>5350452</v>
      </c>
      <c r="AJ499" s="59">
        <v>43810</v>
      </c>
      <c r="AK499" s="157">
        <v>88787.199999999997</v>
      </c>
      <c r="AM499" s="40" t="s">
        <v>50</v>
      </c>
    </row>
    <row r="500" spans="1:39" ht="15.75" customHeight="1" x14ac:dyDescent="0.25">
      <c r="A500" s="59" t="s">
        <v>726</v>
      </c>
      <c r="B500" s="283"/>
      <c r="C500" s="7"/>
      <c r="D500" s="7"/>
      <c r="E500" s="7"/>
      <c r="F500" s="7"/>
      <c r="G500" s="286"/>
      <c r="H500" s="271"/>
      <c r="I500" s="271"/>
      <c r="J500" s="28"/>
      <c r="K500" s="28"/>
      <c r="L500" s="271"/>
      <c r="M500" s="271"/>
      <c r="N500" s="271"/>
      <c r="O500" s="271"/>
      <c r="P500" s="271"/>
      <c r="Q500" s="271"/>
      <c r="R500" s="271"/>
      <c r="Z500" s="58">
        <v>1627</v>
      </c>
      <c r="AA500" s="64">
        <v>5259698</v>
      </c>
      <c r="AB500" s="38">
        <v>43472</v>
      </c>
      <c r="AC500" s="157">
        <v>67801.600000000006</v>
      </c>
      <c r="AE500" s="42"/>
      <c r="AG500" s="155"/>
      <c r="AH500" s="169" t="s">
        <v>690</v>
      </c>
      <c r="AI500" s="58">
        <v>5310079</v>
      </c>
      <c r="AJ500" s="59">
        <v>43868</v>
      </c>
      <c r="AK500" s="157">
        <v>416857.59999999998</v>
      </c>
      <c r="AM500" s="40" t="s">
        <v>50</v>
      </c>
    </row>
    <row r="501" spans="1:39" ht="15.75" customHeight="1" x14ac:dyDescent="0.25">
      <c r="A501" s="59" t="s">
        <v>726</v>
      </c>
      <c r="B501" s="283"/>
      <c r="C501" s="7"/>
      <c r="D501" s="7"/>
      <c r="E501" s="7"/>
      <c r="F501" s="7"/>
      <c r="G501" s="286"/>
      <c r="H501" s="271"/>
      <c r="I501" s="271"/>
      <c r="J501" s="28"/>
      <c r="K501" s="28"/>
      <c r="L501" s="271"/>
      <c r="M501" s="271"/>
      <c r="N501" s="271"/>
      <c r="O501" s="271"/>
      <c r="P501" s="271"/>
      <c r="Q501" s="271"/>
      <c r="R501" s="271"/>
      <c r="Z501" s="58">
        <v>1628</v>
      </c>
      <c r="AA501" s="64">
        <v>5259698</v>
      </c>
      <c r="AB501" s="38">
        <v>43472</v>
      </c>
      <c r="AC501" s="157">
        <v>99558.399999999994</v>
      </c>
      <c r="AE501" s="42"/>
      <c r="AG501" s="155"/>
      <c r="AH501" s="169" t="s">
        <v>691</v>
      </c>
      <c r="AI501" s="58">
        <v>5441254</v>
      </c>
      <c r="AJ501" s="59">
        <v>43951</v>
      </c>
      <c r="AK501" s="157">
        <v>143187.20000000001</v>
      </c>
      <c r="AM501" s="40" t="s">
        <v>50</v>
      </c>
    </row>
    <row r="502" spans="1:39" ht="15.75" customHeight="1" x14ac:dyDescent="0.25">
      <c r="A502" s="59" t="s">
        <v>726</v>
      </c>
      <c r="B502" s="283"/>
      <c r="C502" s="7"/>
      <c r="D502" s="7"/>
      <c r="E502" s="7"/>
      <c r="F502" s="7"/>
      <c r="G502" s="286"/>
      <c r="H502" s="271"/>
      <c r="I502" s="271"/>
      <c r="J502" s="28"/>
      <c r="K502" s="28"/>
      <c r="L502" s="271"/>
      <c r="M502" s="271"/>
      <c r="N502" s="271"/>
      <c r="O502" s="271"/>
      <c r="P502" s="271"/>
      <c r="Q502" s="271"/>
      <c r="R502" s="271"/>
      <c r="Z502" s="58">
        <v>1717</v>
      </c>
      <c r="AA502" s="129">
        <v>5260107</v>
      </c>
      <c r="AB502" s="38">
        <v>43503</v>
      </c>
      <c r="AC502" s="157">
        <v>89433.600000000006</v>
      </c>
      <c r="AE502" s="42"/>
      <c r="AG502" s="155"/>
      <c r="AH502" s="169" t="s">
        <v>692</v>
      </c>
      <c r="AI502" s="58">
        <v>5745747</v>
      </c>
      <c r="AJ502" s="59">
        <v>43983</v>
      </c>
      <c r="AK502" s="157">
        <v>104025.60000000001</v>
      </c>
      <c r="AM502" s="40" t="s">
        <v>50</v>
      </c>
    </row>
    <row r="503" spans="1:39" ht="15.75" customHeight="1" x14ac:dyDescent="0.25">
      <c r="A503" s="59" t="s">
        <v>726</v>
      </c>
      <c r="B503" s="283"/>
      <c r="C503" s="7"/>
      <c r="D503" s="7"/>
      <c r="E503" s="7"/>
      <c r="F503" s="7"/>
      <c r="G503" s="286"/>
      <c r="H503" s="271"/>
      <c r="I503" s="271"/>
      <c r="J503" s="28"/>
      <c r="K503" s="28"/>
      <c r="L503" s="271"/>
      <c r="M503" s="271"/>
      <c r="N503" s="271"/>
      <c r="O503" s="271"/>
      <c r="P503" s="271"/>
      <c r="Q503" s="271"/>
      <c r="R503" s="271"/>
      <c r="Z503" s="58">
        <v>1862</v>
      </c>
      <c r="AA503" s="129">
        <v>5260107</v>
      </c>
      <c r="AB503" s="38">
        <v>43598</v>
      </c>
      <c r="AC503" s="157">
        <v>74284.800000000003</v>
      </c>
      <c r="AE503" s="42"/>
      <c r="AG503" s="155"/>
      <c r="AH503" s="169" t="s">
        <v>693</v>
      </c>
      <c r="AI503" s="58">
        <v>6933912</v>
      </c>
      <c r="AJ503" s="59">
        <v>44077</v>
      </c>
      <c r="AK503" s="157">
        <v>96409.600000000006</v>
      </c>
      <c r="AM503" s="40" t="s">
        <v>50</v>
      </c>
    </row>
    <row r="504" spans="1:39" ht="15.75" customHeight="1" x14ac:dyDescent="0.25">
      <c r="A504" s="59" t="s">
        <v>726</v>
      </c>
      <c r="B504" s="283"/>
      <c r="C504" s="7"/>
      <c r="D504" s="7"/>
      <c r="E504" s="7"/>
      <c r="F504" s="7"/>
      <c r="G504" s="286"/>
      <c r="H504" s="271"/>
      <c r="I504" s="271"/>
      <c r="J504" s="28"/>
      <c r="K504" s="28"/>
      <c r="L504" s="271"/>
      <c r="M504" s="271"/>
      <c r="N504" s="271"/>
      <c r="O504" s="271"/>
      <c r="P504" s="271"/>
      <c r="Q504" s="271"/>
      <c r="R504" s="271"/>
      <c r="Z504" s="58">
        <v>1863</v>
      </c>
      <c r="AA504" s="129">
        <v>5260107</v>
      </c>
      <c r="AB504" s="38">
        <v>43598</v>
      </c>
      <c r="AC504" s="157">
        <v>79545.600000000006</v>
      </c>
      <c r="AE504" s="42"/>
      <c r="AG504" s="155"/>
      <c r="AJ504" s="123"/>
      <c r="AK504" s="157"/>
      <c r="AM504" s="40"/>
    </row>
    <row r="505" spans="1:39" ht="15.75" customHeight="1" x14ac:dyDescent="0.25">
      <c r="A505" s="59" t="s">
        <v>726</v>
      </c>
      <c r="B505" s="283"/>
      <c r="C505" s="7"/>
      <c r="D505" s="7"/>
      <c r="E505" s="7"/>
      <c r="F505" s="7"/>
      <c r="G505" s="286"/>
      <c r="H505" s="271"/>
      <c r="I505" s="271"/>
      <c r="J505" s="28"/>
      <c r="K505" s="28"/>
      <c r="L505" s="271"/>
      <c r="M505" s="271"/>
      <c r="N505" s="271"/>
      <c r="O505" s="271"/>
      <c r="P505" s="271"/>
      <c r="Q505" s="271"/>
      <c r="R505" s="271"/>
      <c r="Z505" s="58">
        <v>1898</v>
      </c>
      <c r="AA505" s="64">
        <v>5260280</v>
      </c>
      <c r="AB505" s="38">
        <v>43628</v>
      </c>
      <c r="AC505" s="157">
        <v>84435.199999999997</v>
      </c>
      <c r="AE505" s="42"/>
      <c r="AG505" s="155"/>
      <c r="AJ505" s="123"/>
      <c r="AK505" s="157"/>
      <c r="AM505" s="40"/>
    </row>
    <row r="506" spans="1:39" ht="15.75" customHeight="1" x14ac:dyDescent="0.25">
      <c r="A506" s="59" t="s">
        <v>726</v>
      </c>
      <c r="B506" s="283"/>
      <c r="C506" s="7"/>
      <c r="D506" s="7"/>
      <c r="E506" s="7"/>
      <c r="F506" s="7"/>
      <c r="G506" s="286"/>
      <c r="H506" s="271"/>
      <c r="I506" s="271"/>
      <c r="J506" s="28"/>
      <c r="K506" s="28"/>
      <c r="L506" s="271"/>
      <c r="M506" s="271"/>
      <c r="N506" s="271"/>
      <c r="O506" s="271"/>
      <c r="P506" s="271"/>
      <c r="Q506" s="271"/>
      <c r="R506" s="271"/>
      <c r="Z506" s="58">
        <v>1968</v>
      </c>
      <c r="AA506" s="64">
        <v>5260714</v>
      </c>
      <c r="AB506" s="38">
        <v>43682</v>
      </c>
      <c r="AC506" s="157">
        <v>75571.199999999997</v>
      </c>
      <c r="AE506" s="42"/>
      <c r="AG506" s="155"/>
      <c r="AJ506" s="123"/>
      <c r="AK506" s="157"/>
      <c r="AM506" s="40"/>
    </row>
    <row r="507" spans="1:39" ht="15.75" customHeight="1" x14ac:dyDescent="0.25">
      <c r="A507" s="59" t="s">
        <v>726</v>
      </c>
      <c r="B507" s="283"/>
      <c r="C507" s="7"/>
      <c r="D507" s="7"/>
      <c r="E507" s="7"/>
      <c r="F507" s="7"/>
      <c r="G507" s="286"/>
      <c r="H507" s="271"/>
      <c r="I507" s="271"/>
      <c r="J507" s="28"/>
      <c r="K507" s="28"/>
      <c r="L507" s="271"/>
      <c r="M507" s="271"/>
      <c r="N507" s="271"/>
      <c r="O507" s="271"/>
      <c r="P507" s="271"/>
      <c r="Q507" s="271"/>
      <c r="R507" s="271"/>
      <c r="Z507" s="58">
        <v>2014</v>
      </c>
      <c r="AA507" s="64">
        <v>5260714</v>
      </c>
      <c r="AB507" s="38">
        <v>43718</v>
      </c>
      <c r="AC507" s="157">
        <v>79296</v>
      </c>
      <c r="AE507" s="42"/>
      <c r="AG507" s="155"/>
      <c r="AJ507" s="123"/>
      <c r="AK507" s="157"/>
      <c r="AM507" s="40"/>
    </row>
    <row r="508" spans="1:39" ht="15.75" customHeight="1" x14ac:dyDescent="0.25">
      <c r="A508" s="59" t="s">
        <v>726</v>
      </c>
      <c r="B508" s="283"/>
      <c r="C508" s="7"/>
      <c r="D508" s="7"/>
      <c r="E508" s="7"/>
      <c r="F508" s="7"/>
      <c r="G508" s="286"/>
      <c r="H508" s="271"/>
      <c r="I508" s="271"/>
      <c r="J508" s="28"/>
      <c r="K508" s="28"/>
      <c r="L508" s="271"/>
      <c r="M508" s="271"/>
      <c r="N508" s="271"/>
      <c r="O508" s="271"/>
      <c r="P508" s="271"/>
      <c r="Q508" s="271"/>
      <c r="R508" s="271"/>
      <c r="Z508" s="58">
        <v>2015</v>
      </c>
      <c r="AA508" s="64">
        <v>5260714</v>
      </c>
      <c r="AB508" s="38">
        <v>43718</v>
      </c>
      <c r="AC508" s="157">
        <v>83814.399999999994</v>
      </c>
      <c r="AE508" s="42"/>
      <c r="AG508" s="155"/>
      <c r="AJ508" s="123"/>
      <c r="AK508" s="157"/>
      <c r="AM508" s="40"/>
    </row>
    <row r="509" spans="1:39" ht="15.75" customHeight="1" x14ac:dyDescent="0.25">
      <c r="A509" s="59" t="s">
        <v>726</v>
      </c>
      <c r="B509" s="283"/>
      <c r="C509" s="7"/>
      <c r="D509" s="7"/>
      <c r="E509" s="7"/>
      <c r="F509" s="7"/>
      <c r="G509" s="286"/>
      <c r="H509" s="271"/>
      <c r="I509" s="271"/>
      <c r="J509" s="28"/>
      <c r="K509" s="28"/>
      <c r="L509" s="271"/>
      <c r="M509" s="271"/>
      <c r="N509" s="271"/>
      <c r="O509" s="271"/>
      <c r="P509" s="271"/>
      <c r="Q509" s="271"/>
      <c r="R509" s="271"/>
      <c r="Z509" s="58">
        <v>2061</v>
      </c>
      <c r="AA509" s="64">
        <v>5261047</v>
      </c>
      <c r="AB509" s="38">
        <v>43747</v>
      </c>
      <c r="AC509" s="157">
        <v>88787.199999999997</v>
      </c>
      <c r="AE509" s="42"/>
      <c r="AG509" s="155"/>
      <c r="AJ509" s="123"/>
      <c r="AK509" s="157"/>
      <c r="AM509" s="40"/>
    </row>
    <row r="510" spans="1:39" ht="15.75" customHeight="1" x14ac:dyDescent="0.25">
      <c r="A510" s="59" t="s">
        <v>726</v>
      </c>
      <c r="B510" s="283"/>
      <c r="C510" s="7"/>
      <c r="D510" s="7"/>
      <c r="E510" s="7"/>
      <c r="F510" s="7"/>
      <c r="G510" s="286"/>
      <c r="H510" s="271"/>
      <c r="I510" s="271"/>
      <c r="J510" s="28"/>
      <c r="K510" s="28"/>
      <c r="L510" s="271"/>
      <c r="M510" s="271"/>
      <c r="N510" s="271"/>
      <c r="O510" s="271"/>
      <c r="P510" s="271"/>
      <c r="Q510" s="271"/>
      <c r="R510" s="271"/>
      <c r="Z510" s="58">
        <v>2139</v>
      </c>
      <c r="AA510" s="64">
        <v>5261135</v>
      </c>
      <c r="AB510" s="38">
        <v>43836</v>
      </c>
      <c r="AC510" s="157">
        <v>96780.800000000003</v>
      </c>
      <c r="AE510" s="42"/>
      <c r="AG510" s="155"/>
      <c r="AJ510" s="123"/>
      <c r="AK510" s="157"/>
      <c r="AM510" s="40"/>
    </row>
    <row r="511" spans="1:39" ht="15.75" customHeight="1" x14ac:dyDescent="0.25">
      <c r="A511" s="59" t="s">
        <v>726</v>
      </c>
      <c r="B511" s="283"/>
      <c r="C511" s="7"/>
      <c r="D511" s="7"/>
      <c r="E511" s="7"/>
      <c r="F511" s="7"/>
      <c r="G511" s="286"/>
      <c r="H511" s="271"/>
      <c r="I511" s="271"/>
      <c r="J511" s="28"/>
      <c r="K511" s="28"/>
      <c r="L511" s="271"/>
      <c r="M511" s="271"/>
      <c r="N511" s="271"/>
      <c r="O511" s="271"/>
      <c r="P511" s="271"/>
      <c r="Q511" s="271"/>
      <c r="R511" s="271"/>
      <c r="Z511" s="58">
        <v>2140</v>
      </c>
      <c r="AA511" s="64">
        <v>5261135</v>
      </c>
      <c r="AB511" s="38">
        <v>43836</v>
      </c>
      <c r="AC511" s="157">
        <v>103366.39999999999</v>
      </c>
      <c r="AE511" s="42"/>
      <c r="AG511" s="155"/>
      <c r="AJ511" s="123"/>
      <c r="AK511" s="157"/>
      <c r="AM511" s="40"/>
    </row>
    <row r="512" spans="1:39" ht="15.75" customHeight="1" x14ac:dyDescent="0.25">
      <c r="A512" s="59" t="s">
        <v>726</v>
      </c>
      <c r="B512" s="283"/>
      <c r="C512" s="7"/>
      <c r="D512" s="7"/>
      <c r="E512" s="7"/>
      <c r="F512" s="7"/>
      <c r="G512" s="286"/>
      <c r="H512" s="271"/>
      <c r="I512" s="271"/>
      <c r="J512" s="28"/>
      <c r="K512" s="28"/>
      <c r="L512" s="271"/>
      <c r="M512" s="271"/>
      <c r="N512" s="271"/>
      <c r="O512" s="271"/>
      <c r="P512" s="271"/>
      <c r="Q512" s="271"/>
      <c r="R512" s="271"/>
      <c r="Z512" s="58">
        <v>2141</v>
      </c>
      <c r="AA512" s="64">
        <v>5261135</v>
      </c>
      <c r="AB512" s="38">
        <v>43836</v>
      </c>
      <c r="AC512" s="157">
        <v>108364.8</v>
      </c>
      <c r="AE512" s="42"/>
      <c r="AG512" s="155"/>
      <c r="AJ512" s="123"/>
      <c r="AK512" s="157"/>
      <c r="AM512" s="40"/>
    </row>
    <row r="513" spans="1:39" ht="15.75" customHeight="1" x14ac:dyDescent="0.25">
      <c r="A513" s="59" t="s">
        <v>726</v>
      </c>
      <c r="B513" s="283"/>
      <c r="C513" s="7"/>
      <c r="D513" s="7"/>
      <c r="E513" s="7"/>
      <c r="F513" s="7"/>
      <c r="G513" s="286"/>
      <c r="H513" s="271"/>
      <c r="I513" s="271"/>
      <c r="J513" s="28"/>
      <c r="K513" s="28"/>
      <c r="L513" s="271"/>
      <c r="M513" s="271"/>
      <c r="N513" s="271"/>
      <c r="O513" s="271"/>
      <c r="P513" s="271"/>
      <c r="Q513" s="271"/>
      <c r="R513" s="271"/>
      <c r="Z513" s="58">
        <v>2185</v>
      </c>
      <c r="AA513" s="64">
        <v>5261135</v>
      </c>
      <c r="AB513" s="38">
        <v>43840</v>
      </c>
      <c r="AC513" s="157">
        <v>108345.60000000001</v>
      </c>
      <c r="AE513" s="42"/>
      <c r="AG513" s="155"/>
      <c r="AJ513" s="123"/>
      <c r="AK513" s="157"/>
      <c r="AM513" s="40"/>
    </row>
    <row r="514" spans="1:39" ht="15.75" customHeight="1" x14ac:dyDescent="0.25">
      <c r="A514" s="59" t="s">
        <v>726</v>
      </c>
      <c r="B514" s="283"/>
      <c r="C514" s="7"/>
      <c r="D514" s="7"/>
      <c r="E514" s="7"/>
      <c r="F514" s="7"/>
      <c r="G514" s="286"/>
      <c r="H514" s="271"/>
      <c r="I514" s="271"/>
      <c r="J514" s="28"/>
      <c r="K514" s="28"/>
      <c r="L514" s="271"/>
      <c r="M514" s="271"/>
      <c r="N514" s="271"/>
      <c r="O514" s="271"/>
      <c r="P514" s="271"/>
      <c r="Q514" s="271"/>
      <c r="R514" s="271"/>
      <c r="Z514" s="58">
        <v>2374</v>
      </c>
      <c r="AA514" s="64">
        <v>5309280</v>
      </c>
      <c r="AB514" s="38">
        <v>43934</v>
      </c>
      <c r="AC514" s="157">
        <v>103699.2</v>
      </c>
      <c r="AE514" s="42"/>
      <c r="AG514" s="155"/>
      <c r="AJ514" s="123"/>
      <c r="AK514" s="157"/>
      <c r="AM514" s="40"/>
    </row>
    <row r="515" spans="1:39" ht="15.75" customHeight="1" x14ac:dyDescent="0.25">
      <c r="A515" s="59" t="s">
        <v>726</v>
      </c>
      <c r="B515" s="283"/>
      <c r="C515" s="7"/>
      <c r="D515" s="7"/>
      <c r="E515" s="7"/>
      <c r="F515" s="7"/>
      <c r="G515" s="286"/>
      <c r="H515" s="271"/>
      <c r="I515" s="271"/>
      <c r="J515" s="28"/>
      <c r="K515" s="28"/>
      <c r="L515" s="271"/>
      <c r="M515" s="271"/>
      <c r="N515" s="271"/>
      <c r="O515" s="271"/>
      <c r="P515" s="271"/>
      <c r="Q515" s="271"/>
      <c r="R515" s="271"/>
      <c r="Z515" s="58">
        <v>2375</v>
      </c>
      <c r="AA515" s="64">
        <v>5309315</v>
      </c>
      <c r="AB515" s="38">
        <v>43934</v>
      </c>
      <c r="AC515" s="157">
        <v>94982.399999999994</v>
      </c>
      <c r="AE515" s="42"/>
      <c r="AG515" s="155"/>
      <c r="AJ515" s="123"/>
      <c r="AK515" s="157"/>
      <c r="AM515" s="40"/>
    </row>
    <row r="516" spans="1:39" ht="15.75" customHeight="1" x14ac:dyDescent="0.25">
      <c r="A516" s="59" t="s">
        <v>726</v>
      </c>
      <c r="B516" s="283"/>
      <c r="C516" s="7"/>
      <c r="D516" s="7"/>
      <c r="E516" s="7"/>
      <c r="F516" s="7"/>
      <c r="G516" s="286"/>
      <c r="H516" s="271"/>
      <c r="I516" s="271"/>
      <c r="J516" s="28"/>
      <c r="K516" s="28"/>
      <c r="L516" s="271"/>
      <c r="M516" s="271"/>
      <c r="N516" s="271"/>
      <c r="O516" s="271"/>
      <c r="P516" s="271"/>
      <c r="Q516" s="271"/>
      <c r="R516" s="271"/>
      <c r="Z516" s="58">
        <v>2376</v>
      </c>
      <c r="AA516" s="64">
        <v>5309330</v>
      </c>
      <c r="AB516" s="38">
        <v>43934</v>
      </c>
      <c r="AC516" s="157">
        <v>111379.2</v>
      </c>
      <c r="AE516" s="42"/>
      <c r="AG516" s="155"/>
      <c r="AJ516" s="123"/>
      <c r="AK516" s="157"/>
      <c r="AM516" s="40"/>
    </row>
    <row r="517" spans="1:39" ht="15.75" customHeight="1" x14ac:dyDescent="0.25">
      <c r="A517" s="59" t="s">
        <v>726</v>
      </c>
      <c r="B517" s="283"/>
      <c r="C517" s="7"/>
      <c r="D517" s="7"/>
      <c r="E517" s="7"/>
      <c r="F517" s="7"/>
      <c r="G517" s="286"/>
      <c r="H517" s="271"/>
      <c r="I517" s="271"/>
      <c r="J517" s="28"/>
      <c r="K517" s="28"/>
      <c r="L517" s="271"/>
      <c r="M517" s="271"/>
      <c r="N517" s="271"/>
      <c r="O517" s="271"/>
      <c r="P517" s="271"/>
      <c r="Q517" s="271"/>
      <c r="R517" s="271"/>
      <c r="Z517" s="58">
        <v>2450</v>
      </c>
      <c r="AA517" s="64">
        <v>5671827</v>
      </c>
      <c r="AB517" s="38">
        <v>43971</v>
      </c>
      <c r="AC517" s="157">
        <v>104025.60000000001</v>
      </c>
      <c r="AE517" s="42"/>
      <c r="AG517" s="155"/>
      <c r="AJ517" s="123"/>
      <c r="AK517" s="157"/>
      <c r="AM517" s="40"/>
    </row>
    <row r="518" spans="1:39" ht="15.75" customHeight="1" x14ac:dyDescent="0.25">
      <c r="A518" s="59" t="s">
        <v>726</v>
      </c>
      <c r="B518" s="284"/>
      <c r="C518" s="43"/>
      <c r="D518" s="43"/>
      <c r="E518" s="43"/>
      <c r="F518" s="43"/>
      <c r="G518" s="287"/>
      <c r="H518" s="279"/>
      <c r="I518" s="279"/>
      <c r="J518" s="16"/>
      <c r="K518" s="16"/>
      <c r="L518" s="279"/>
      <c r="M518" s="279"/>
      <c r="N518" s="279"/>
      <c r="O518" s="279"/>
      <c r="P518" s="279"/>
      <c r="Q518" s="279"/>
      <c r="R518" s="279"/>
      <c r="S518" s="44"/>
      <c r="T518" s="44"/>
      <c r="U518" s="44"/>
      <c r="V518" s="44"/>
      <c r="W518" s="44"/>
      <c r="X518" s="44"/>
      <c r="Y518" s="44"/>
      <c r="Z518" s="44">
        <v>2550</v>
      </c>
      <c r="AA518" s="121">
        <v>6263989</v>
      </c>
      <c r="AB518" s="47">
        <v>44006</v>
      </c>
      <c r="AC518" s="158">
        <v>96409.600000000006</v>
      </c>
      <c r="AD518" s="44"/>
      <c r="AE518" s="46"/>
      <c r="AF518" s="44"/>
      <c r="AG518" s="153"/>
      <c r="AH518" s="55"/>
      <c r="AI518" s="44"/>
      <c r="AJ518" s="75"/>
      <c r="AK518" s="158"/>
      <c r="AL518" s="44"/>
      <c r="AM518" s="48"/>
    </row>
    <row r="519" spans="1:39" ht="15.75" customHeight="1" x14ac:dyDescent="0.25">
      <c r="A519" s="59" t="s">
        <v>726</v>
      </c>
      <c r="B519" s="282" t="s">
        <v>694</v>
      </c>
      <c r="C519" s="23"/>
      <c r="D519" s="23"/>
      <c r="E519" s="23"/>
      <c r="F519" s="23"/>
      <c r="G519" s="285">
        <v>7</v>
      </c>
      <c r="H519" s="9">
        <v>42736</v>
      </c>
      <c r="I519" s="11">
        <v>28733356</v>
      </c>
      <c r="J519" s="10">
        <v>1968956.45</v>
      </c>
      <c r="K519" s="10">
        <v>1968956.45</v>
      </c>
      <c r="L519" s="9">
        <v>42814</v>
      </c>
      <c r="M519" s="11">
        <v>30</v>
      </c>
      <c r="N519" s="9">
        <f>L519+M519</f>
        <v>42844</v>
      </c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>
        <v>652</v>
      </c>
      <c r="AA519" s="60">
        <v>28733423</v>
      </c>
      <c r="AB519" s="9">
        <v>42921</v>
      </c>
      <c r="AC519" s="152">
        <v>1514087.49</v>
      </c>
      <c r="AD519" s="11" t="s">
        <v>695</v>
      </c>
      <c r="AE519" s="12">
        <v>28733392</v>
      </c>
      <c r="AF519" s="9">
        <v>42926</v>
      </c>
      <c r="AG519" s="152">
        <v>1968956.45</v>
      </c>
      <c r="AH519" s="11" t="s">
        <v>696</v>
      </c>
      <c r="AI519" s="11">
        <v>28733473</v>
      </c>
      <c r="AJ519" s="9">
        <v>43084</v>
      </c>
      <c r="AK519" s="152">
        <v>1438636.08</v>
      </c>
      <c r="AL519" s="11"/>
      <c r="AM519" s="13" t="s">
        <v>697</v>
      </c>
    </row>
    <row r="520" spans="1:39" ht="15.75" customHeight="1" x14ac:dyDescent="0.25">
      <c r="A520" s="59" t="s">
        <v>726</v>
      </c>
      <c r="B520" s="284"/>
      <c r="C520" s="32"/>
      <c r="D520" s="32"/>
      <c r="E520" s="32"/>
      <c r="F520" s="32"/>
      <c r="G520" s="287"/>
      <c r="H520" s="15"/>
      <c r="I520" s="14"/>
      <c r="J520" s="16"/>
      <c r="K520" s="16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>
        <v>653</v>
      </c>
      <c r="AA520" s="119">
        <v>28733423</v>
      </c>
      <c r="AB520" s="15">
        <v>42968</v>
      </c>
      <c r="AC520" s="153">
        <v>1438636.08</v>
      </c>
      <c r="AD520" s="14" t="s">
        <v>698</v>
      </c>
      <c r="AE520" s="17">
        <v>28733392</v>
      </c>
      <c r="AF520" s="15">
        <v>42964</v>
      </c>
      <c r="AG520" s="153">
        <v>983767.12</v>
      </c>
      <c r="AH520" s="14" t="s">
        <v>699</v>
      </c>
      <c r="AI520" s="14">
        <v>28733473</v>
      </c>
      <c r="AJ520" s="15">
        <v>42929</v>
      </c>
      <c r="AK520" s="153">
        <v>1514087.49</v>
      </c>
      <c r="AL520" s="14"/>
      <c r="AM520" s="18" t="s">
        <v>697</v>
      </c>
    </row>
    <row r="521" spans="1:39" ht="15.75" customHeight="1" x14ac:dyDescent="0.25">
      <c r="A521" s="59" t="s">
        <v>726</v>
      </c>
      <c r="B521" s="19" t="s">
        <v>700</v>
      </c>
      <c r="C521" s="67"/>
      <c r="D521" s="67"/>
      <c r="E521" s="67"/>
      <c r="F521" s="67"/>
      <c r="G521" s="21">
        <v>10</v>
      </c>
      <c r="H521" s="69">
        <v>42736</v>
      </c>
      <c r="I521" s="70">
        <v>28734187</v>
      </c>
      <c r="J521" s="68">
        <v>99240</v>
      </c>
      <c r="K521" s="68">
        <v>99240</v>
      </c>
      <c r="L521" s="69">
        <v>42948</v>
      </c>
      <c r="M521" s="70">
        <v>90</v>
      </c>
      <c r="N521" s="69">
        <f>L521+M521</f>
        <v>43038</v>
      </c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>
        <v>124510</v>
      </c>
      <c r="AA521" s="124">
        <v>28734242</v>
      </c>
      <c r="AB521" s="73">
        <v>42997</v>
      </c>
      <c r="AC521" s="162">
        <v>99240</v>
      </c>
      <c r="AD521" s="21" t="s">
        <v>701</v>
      </c>
      <c r="AE521" s="71">
        <v>28734266</v>
      </c>
      <c r="AF521" s="69">
        <v>42977</v>
      </c>
      <c r="AG521" s="154">
        <v>99240</v>
      </c>
      <c r="AH521" s="21" t="s">
        <v>702</v>
      </c>
      <c r="AI521" s="74">
        <v>28734307</v>
      </c>
      <c r="AJ521" s="73">
        <v>43027</v>
      </c>
      <c r="AK521" s="162">
        <v>99240</v>
      </c>
      <c r="AL521" s="70"/>
      <c r="AM521" s="113" t="s">
        <v>703</v>
      </c>
    </row>
    <row r="522" spans="1:39" ht="15.75" customHeight="1" x14ac:dyDescent="0.25">
      <c r="A522" s="59" t="s">
        <v>726</v>
      </c>
      <c r="B522" s="282" t="s">
        <v>704</v>
      </c>
      <c r="C522" s="33"/>
      <c r="D522" s="33"/>
      <c r="E522" s="33"/>
      <c r="F522" s="33"/>
      <c r="G522" s="285">
        <v>27</v>
      </c>
      <c r="H522" s="69">
        <v>42736</v>
      </c>
      <c r="I522" s="49">
        <v>28734453</v>
      </c>
      <c r="J522" s="53">
        <v>803614</v>
      </c>
      <c r="K522" s="53">
        <v>803614</v>
      </c>
      <c r="L522" s="57">
        <v>43088</v>
      </c>
      <c r="M522" s="49">
        <v>90</v>
      </c>
      <c r="N522" s="57">
        <f>L522+M522</f>
        <v>43178</v>
      </c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>
        <v>133301</v>
      </c>
      <c r="AA522" s="122">
        <v>28734485</v>
      </c>
      <c r="AB522" s="50">
        <v>43175</v>
      </c>
      <c r="AC522" s="156">
        <v>94680</v>
      </c>
      <c r="AD522" s="11" t="s">
        <v>705</v>
      </c>
      <c r="AE522" s="56">
        <v>28734583</v>
      </c>
      <c r="AF522" s="57">
        <v>43157</v>
      </c>
      <c r="AG522" s="152">
        <v>80361400</v>
      </c>
      <c r="AH522" s="11" t="s">
        <v>706</v>
      </c>
      <c r="AI522" s="49"/>
      <c r="AJ522" s="57">
        <v>43229</v>
      </c>
      <c r="AK522" s="156">
        <v>804614</v>
      </c>
      <c r="AL522" s="49"/>
      <c r="AM522" s="113" t="s">
        <v>703</v>
      </c>
    </row>
    <row r="523" spans="1:39" ht="15.75" customHeight="1" x14ac:dyDescent="0.25">
      <c r="A523" s="59" t="s">
        <v>726</v>
      </c>
      <c r="B523" s="283"/>
      <c r="C523" s="7"/>
      <c r="D523" s="7"/>
      <c r="E523" s="7"/>
      <c r="F523" s="7"/>
      <c r="G523" s="286"/>
      <c r="H523" s="59"/>
      <c r="J523" s="39"/>
      <c r="K523" s="39"/>
      <c r="Z523" s="58">
        <v>133983</v>
      </c>
      <c r="AA523" s="64">
        <v>28734485</v>
      </c>
      <c r="AB523" s="38">
        <v>43188</v>
      </c>
      <c r="AC523" s="157">
        <v>156834</v>
      </c>
      <c r="AE523" s="42"/>
      <c r="AG523" s="155"/>
      <c r="AJ523" s="123"/>
      <c r="AK523" s="157"/>
      <c r="AM523" s="113"/>
    </row>
    <row r="524" spans="1:39" ht="15.75" customHeight="1" x14ac:dyDescent="0.25">
      <c r="A524" s="59" t="s">
        <v>726</v>
      </c>
      <c r="B524" s="284"/>
      <c r="C524" s="43"/>
      <c r="D524" s="43"/>
      <c r="E524" s="43"/>
      <c r="F524" s="43"/>
      <c r="G524" s="287"/>
      <c r="H524" s="75"/>
      <c r="I524" s="44"/>
      <c r="J524" s="45"/>
      <c r="K524" s="45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>
        <v>132371</v>
      </c>
      <c r="AA524" s="121">
        <v>28734485</v>
      </c>
      <c r="AB524" s="47">
        <v>43159</v>
      </c>
      <c r="AC524" s="158">
        <v>552100</v>
      </c>
      <c r="AD524" s="44"/>
      <c r="AE524" s="46"/>
      <c r="AF524" s="44"/>
      <c r="AG524" s="153"/>
      <c r="AH524" s="55"/>
      <c r="AI524" s="44"/>
      <c r="AJ524" s="75"/>
      <c r="AK524" s="158"/>
      <c r="AL524" s="44"/>
      <c r="AM524" s="48"/>
    </row>
    <row r="525" spans="1:39" ht="15.75" customHeight="1" x14ac:dyDescent="0.25">
      <c r="A525" s="59" t="s">
        <v>726</v>
      </c>
      <c r="B525" s="282" t="s">
        <v>707</v>
      </c>
      <c r="C525" s="33"/>
      <c r="D525" s="33"/>
      <c r="E525" s="33"/>
      <c r="F525" s="33"/>
      <c r="G525" s="285">
        <v>28</v>
      </c>
      <c r="H525" s="57">
        <v>42736</v>
      </c>
      <c r="I525" s="49">
        <v>28756596</v>
      </c>
      <c r="J525" s="53">
        <v>3633600</v>
      </c>
      <c r="K525" s="53">
        <v>3633600</v>
      </c>
      <c r="L525" s="57">
        <v>43097</v>
      </c>
      <c r="M525" s="49">
        <v>30</v>
      </c>
      <c r="N525" s="57">
        <f>L525+M525</f>
        <v>43127</v>
      </c>
      <c r="O525" s="49" t="s">
        <v>708</v>
      </c>
      <c r="P525" s="49"/>
      <c r="Q525" s="49" t="s">
        <v>708</v>
      </c>
      <c r="R525" s="49"/>
      <c r="S525" s="49"/>
      <c r="T525" s="49"/>
      <c r="U525" s="49"/>
      <c r="V525" s="49"/>
      <c r="W525" s="49"/>
      <c r="X525" s="49"/>
      <c r="Y525" s="49"/>
      <c r="Z525" s="49">
        <v>2041</v>
      </c>
      <c r="AA525" s="122">
        <v>28757638</v>
      </c>
      <c r="AB525" s="50">
        <v>43368</v>
      </c>
      <c r="AC525" s="156">
        <v>151400</v>
      </c>
      <c r="AD525" s="11" t="s">
        <v>709</v>
      </c>
      <c r="AE525" s="12">
        <v>28757791</v>
      </c>
      <c r="AF525" s="57">
        <v>43460</v>
      </c>
      <c r="AG525" s="152">
        <v>3633000</v>
      </c>
      <c r="AH525" s="11" t="s">
        <v>710</v>
      </c>
      <c r="AI525" s="49">
        <v>28758059</v>
      </c>
      <c r="AJ525" s="57">
        <v>43423</v>
      </c>
      <c r="AK525" s="156">
        <v>3633600</v>
      </c>
      <c r="AL525" s="49"/>
      <c r="AM525" s="114" t="s">
        <v>711</v>
      </c>
    </row>
    <row r="526" spans="1:39" ht="15.75" customHeight="1" x14ac:dyDescent="0.25">
      <c r="A526" s="59" t="s">
        <v>726</v>
      </c>
      <c r="B526" s="283"/>
      <c r="C526" s="7"/>
      <c r="D526" s="7"/>
      <c r="E526" s="7"/>
      <c r="F526" s="7"/>
      <c r="G526" s="286"/>
      <c r="H526" s="59"/>
      <c r="J526" s="39"/>
      <c r="K526" s="39"/>
      <c r="Z526" s="58">
        <v>2042</v>
      </c>
      <c r="AA526" s="64">
        <v>28757638</v>
      </c>
      <c r="AB526" s="38">
        <v>43368</v>
      </c>
      <c r="AC526" s="157">
        <v>151400</v>
      </c>
      <c r="AD526" s="26" t="s">
        <v>712</v>
      </c>
      <c r="AE526" s="29">
        <v>28757791</v>
      </c>
      <c r="AF526" s="59">
        <v>43460</v>
      </c>
      <c r="AG526" s="155">
        <v>600</v>
      </c>
      <c r="AJ526" s="123"/>
      <c r="AK526" s="157"/>
      <c r="AM526" s="114" t="s">
        <v>711</v>
      </c>
    </row>
    <row r="527" spans="1:39" ht="15.75" customHeight="1" x14ac:dyDescent="0.25">
      <c r="A527" s="59" t="s">
        <v>726</v>
      </c>
      <c r="B527" s="283"/>
      <c r="C527" s="7"/>
      <c r="D527" s="7"/>
      <c r="E527" s="7"/>
      <c r="F527" s="7"/>
      <c r="G527" s="286"/>
      <c r="H527" s="59"/>
      <c r="J527" s="39"/>
      <c r="K527" s="39"/>
      <c r="Z527" s="58">
        <v>2043</v>
      </c>
      <c r="AA527" s="64">
        <v>28757638</v>
      </c>
      <c r="AB527" s="38">
        <v>43368</v>
      </c>
      <c r="AC527" s="157">
        <v>151400</v>
      </c>
      <c r="AE527" s="42"/>
      <c r="AG527" s="155"/>
      <c r="AJ527" s="123"/>
      <c r="AK527" s="157"/>
      <c r="AM527" s="40"/>
    </row>
    <row r="528" spans="1:39" ht="15.75" customHeight="1" x14ac:dyDescent="0.25">
      <c r="A528" s="59" t="s">
        <v>726</v>
      </c>
      <c r="B528" s="283"/>
      <c r="C528" s="7"/>
      <c r="D528" s="7"/>
      <c r="E528" s="7"/>
      <c r="F528" s="7"/>
      <c r="G528" s="286"/>
      <c r="H528" s="59"/>
      <c r="J528" s="39"/>
      <c r="K528" s="39"/>
      <c r="Z528" s="58">
        <v>2044</v>
      </c>
      <c r="AA528" s="64">
        <v>28757638</v>
      </c>
      <c r="AB528" s="38">
        <v>43368</v>
      </c>
      <c r="AC528" s="157">
        <v>151400</v>
      </c>
      <c r="AE528" s="42"/>
      <c r="AG528" s="155"/>
      <c r="AJ528" s="123"/>
      <c r="AK528" s="157"/>
      <c r="AM528" s="40"/>
    </row>
    <row r="529" spans="1:39" ht="15.75" customHeight="1" x14ac:dyDescent="0.25">
      <c r="A529" s="59" t="s">
        <v>726</v>
      </c>
      <c r="B529" s="283"/>
      <c r="C529" s="7"/>
      <c r="D529" s="7"/>
      <c r="E529" s="7"/>
      <c r="F529" s="7"/>
      <c r="G529" s="286"/>
      <c r="H529" s="59"/>
      <c r="J529" s="39"/>
      <c r="K529" s="39"/>
      <c r="Z529" s="58">
        <v>2045</v>
      </c>
      <c r="AA529" s="64">
        <v>28757638</v>
      </c>
      <c r="AB529" s="38">
        <v>43368</v>
      </c>
      <c r="AC529" s="157">
        <v>151400</v>
      </c>
      <c r="AE529" s="42"/>
      <c r="AG529" s="155"/>
      <c r="AJ529" s="123"/>
      <c r="AK529" s="157"/>
      <c r="AM529" s="40"/>
    </row>
    <row r="530" spans="1:39" ht="15.75" customHeight="1" x14ac:dyDescent="0.25">
      <c r="A530" s="59" t="s">
        <v>726</v>
      </c>
      <c r="B530" s="283"/>
      <c r="C530" s="7"/>
      <c r="D530" s="7"/>
      <c r="E530" s="7"/>
      <c r="F530" s="7"/>
      <c r="G530" s="286"/>
      <c r="H530" s="59"/>
      <c r="J530" s="39"/>
      <c r="K530" s="39"/>
      <c r="Z530" s="58">
        <v>2046</v>
      </c>
      <c r="AA530" s="64">
        <v>28757638</v>
      </c>
      <c r="AB530" s="38">
        <v>43368</v>
      </c>
      <c r="AC530" s="157">
        <v>151400</v>
      </c>
      <c r="AE530" s="42"/>
      <c r="AG530" s="155"/>
      <c r="AJ530" s="123"/>
      <c r="AK530" s="157"/>
      <c r="AM530" s="40"/>
    </row>
    <row r="531" spans="1:39" ht="15.75" customHeight="1" x14ac:dyDescent="0.25">
      <c r="A531" s="59" t="s">
        <v>726</v>
      </c>
      <c r="B531" s="283"/>
      <c r="C531" s="7"/>
      <c r="D531" s="7"/>
      <c r="E531" s="7"/>
      <c r="F531" s="7"/>
      <c r="G531" s="286"/>
      <c r="H531" s="59"/>
      <c r="J531" s="39"/>
      <c r="K531" s="39"/>
      <c r="Z531" s="58">
        <v>2047</v>
      </c>
      <c r="AA531" s="64">
        <v>28757638</v>
      </c>
      <c r="AB531" s="38">
        <v>43368</v>
      </c>
      <c r="AC531" s="157">
        <v>151400</v>
      </c>
      <c r="AE531" s="42"/>
      <c r="AG531" s="155"/>
      <c r="AJ531" s="123"/>
      <c r="AK531" s="157"/>
      <c r="AM531" s="40"/>
    </row>
    <row r="532" spans="1:39" ht="15.75" customHeight="1" x14ac:dyDescent="0.25">
      <c r="A532" s="59" t="s">
        <v>726</v>
      </c>
      <c r="B532" s="283"/>
      <c r="C532" s="7"/>
      <c r="D532" s="7"/>
      <c r="E532" s="7"/>
      <c r="F532" s="7"/>
      <c r="G532" s="286"/>
      <c r="H532" s="59"/>
      <c r="J532" s="39"/>
      <c r="K532" s="39"/>
      <c r="Z532" s="58">
        <v>2048</v>
      </c>
      <c r="AA532" s="64">
        <v>28757638</v>
      </c>
      <c r="AB532" s="38">
        <v>43368</v>
      </c>
      <c r="AC532" s="157">
        <v>151400</v>
      </c>
      <c r="AE532" s="42"/>
      <c r="AG532" s="155"/>
      <c r="AJ532" s="123"/>
      <c r="AK532" s="157"/>
      <c r="AM532" s="40"/>
    </row>
    <row r="533" spans="1:39" ht="15.75" customHeight="1" x14ac:dyDescent="0.25">
      <c r="A533" s="59" t="s">
        <v>726</v>
      </c>
      <c r="B533" s="283"/>
      <c r="C533" s="7"/>
      <c r="D533" s="7"/>
      <c r="E533" s="7"/>
      <c r="F533" s="7"/>
      <c r="G533" s="286"/>
      <c r="H533" s="59"/>
      <c r="J533" s="39"/>
      <c r="K533" s="39"/>
      <c r="Z533" s="58">
        <v>2049</v>
      </c>
      <c r="AA533" s="64">
        <v>28757638</v>
      </c>
      <c r="AB533" s="38">
        <v>43368</v>
      </c>
      <c r="AC533" s="157">
        <v>151400</v>
      </c>
      <c r="AE533" s="42"/>
      <c r="AG533" s="155"/>
      <c r="AJ533" s="123"/>
      <c r="AK533" s="157"/>
      <c r="AM533" s="40"/>
    </row>
    <row r="534" spans="1:39" ht="15.75" customHeight="1" x14ac:dyDescent="0.25">
      <c r="A534" s="59" t="s">
        <v>726</v>
      </c>
      <c r="B534" s="283"/>
      <c r="C534" s="7"/>
      <c r="D534" s="7"/>
      <c r="E534" s="7"/>
      <c r="F534" s="7"/>
      <c r="G534" s="286"/>
      <c r="H534" s="59"/>
      <c r="J534" s="39"/>
      <c r="K534" s="39"/>
      <c r="Z534" s="58">
        <v>2050</v>
      </c>
      <c r="AA534" s="64">
        <v>28757638</v>
      </c>
      <c r="AB534" s="38">
        <v>43368</v>
      </c>
      <c r="AC534" s="157">
        <v>151400</v>
      </c>
      <c r="AE534" s="42"/>
      <c r="AG534" s="155"/>
      <c r="AJ534" s="123"/>
      <c r="AK534" s="157"/>
      <c r="AM534" s="40"/>
    </row>
    <row r="535" spans="1:39" ht="15.75" customHeight="1" x14ac:dyDescent="0.25">
      <c r="A535" s="59" t="s">
        <v>726</v>
      </c>
      <c r="B535" s="283"/>
      <c r="C535" s="7"/>
      <c r="D535" s="7"/>
      <c r="E535" s="7"/>
      <c r="F535" s="7"/>
      <c r="G535" s="286"/>
      <c r="H535" s="59"/>
      <c r="J535" s="39"/>
      <c r="K535" s="39"/>
      <c r="Z535" s="58">
        <v>2051</v>
      </c>
      <c r="AA535" s="64">
        <v>28757638</v>
      </c>
      <c r="AB535" s="38">
        <v>43368</v>
      </c>
      <c r="AC535" s="157">
        <v>151400</v>
      </c>
      <c r="AE535" s="42"/>
      <c r="AG535" s="155"/>
      <c r="AJ535" s="123"/>
      <c r="AK535" s="157"/>
      <c r="AM535" s="40"/>
    </row>
    <row r="536" spans="1:39" ht="15.75" customHeight="1" x14ac:dyDescent="0.25">
      <c r="A536" s="59" t="s">
        <v>726</v>
      </c>
      <c r="B536" s="283"/>
      <c r="C536" s="7"/>
      <c r="D536" s="7"/>
      <c r="E536" s="7"/>
      <c r="F536" s="7"/>
      <c r="G536" s="286"/>
      <c r="H536" s="59"/>
      <c r="J536" s="39"/>
      <c r="K536" s="39"/>
      <c r="Z536" s="58">
        <v>2052</v>
      </c>
      <c r="AA536" s="64">
        <v>28757638</v>
      </c>
      <c r="AB536" s="38">
        <v>43368</v>
      </c>
      <c r="AC536" s="157">
        <v>151400</v>
      </c>
      <c r="AE536" s="42"/>
      <c r="AG536" s="155"/>
      <c r="AJ536" s="123"/>
      <c r="AK536" s="157"/>
      <c r="AM536" s="40"/>
    </row>
    <row r="537" spans="1:39" ht="15.75" customHeight="1" x14ac:dyDescent="0.25">
      <c r="A537" s="59" t="s">
        <v>726</v>
      </c>
      <c r="B537" s="283"/>
      <c r="C537" s="7"/>
      <c r="D537" s="7"/>
      <c r="E537" s="7"/>
      <c r="F537" s="7"/>
      <c r="G537" s="286"/>
      <c r="H537" s="59"/>
      <c r="J537" s="39"/>
      <c r="K537" s="39"/>
      <c r="Z537" s="58">
        <v>2053</v>
      </c>
      <c r="AA537" s="64">
        <v>28757638</v>
      </c>
      <c r="AB537" s="38">
        <v>43368</v>
      </c>
      <c r="AC537" s="157">
        <v>151400</v>
      </c>
      <c r="AE537" s="42"/>
      <c r="AG537" s="155"/>
      <c r="AJ537" s="123"/>
      <c r="AK537" s="157"/>
      <c r="AM537" s="40"/>
    </row>
    <row r="538" spans="1:39" ht="15.75" customHeight="1" x14ac:dyDescent="0.25">
      <c r="A538" s="59" t="s">
        <v>726</v>
      </c>
      <c r="B538" s="283"/>
      <c r="C538" s="7"/>
      <c r="D538" s="7"/>
      <c r="E538" s="7"/>
      <c r="F538" s="7"/>
      <c r="G538" s="286"/>
      <c r="H538" s="59"/>
      <c r="J538" s="39"/>
      <c r="K538" s="39"/>
      <c r="Z538" s="58">
        <v>2054</v>
      </c>
      <c r="AA538" s="64">
        <v>28757638</v>
      </c>
      <c r="AB538" s="38">
        <v>43368</v>
      </c>
      <c r="AC538" s="157">
        <v>151400</v>
      </c>
      <c r="AE538" s="42"/>
      <c r="AG538" s="155"/>
      <c r="AJ538" s="123"/>
      <c r="AK538" s="157"/>
      <c r="AM538" s="40"/>
    </row>
    <row r="539" spans="1:39" ht="15.75" customHeight="1" x14ac:dyDescent="0.25">
      <c r="A539" s="59" t="s">
        <v>726</v>
      </c>
      <c r="B539" s="283"/>
      <c r="C539" s="7"/>
      <c r="D539" s="7"/>
      <c r="E539" s="7"/>
      <c r="F539" s="7"/>
      <c r="G539" s="286"/>
      <c r="H539" s="59"/>
      <c r="J539" s="39"/>
      <c r="K539" s="39"/>
      <c r="Z539" s="58">
        <v>2055</v>
      </c>
      <c r="AA539" s="64">
        <v>28757638</v>
      </c>
      <c r="AB539" s="38">
        <v>43368</v>
      </c>
      <c r="AC539" s="157">
        <v>151400</v>
      </c>
      <c r="AE539" s="42"/>
      <c r="AG539" s="155"/>
      <c r="AJ539" s="123"/>
      <c r="AK539" s="157"/>
      <c r="AM539" s="40"/>
    </row>
    <row r="540" spans="1:39" ht="15.75" customHeight="1" x14ac:dyDescent="0.25">
      <c r="A540" s="59" t="s">
        <v>726</v>
      </c>
      <c r="B540" s="283"/>
      <c r="C540" s="7"/>
      <c r="D540" s="7"/>
      <c r="E540" s="7"/>
      <c r="F540" s="7"/>
      <c r="G540" s="286"/>
      <c r="H540" s="59"/>
      <c r="J540" s="39"/>
      <c r="K540" s="39"/>
      <c r="Z540" s="58">
        <v>2056</v>
      </c>
      <c r="AA540" s="64">
        <v>28757638</v>
      </c>
      <c r="AB540" s="38">
        <v>43368</v>
      </c>
      <c r="AC540" s="157">
        <v>151400</v>
      </c>
      <c r="AE540" s="42"/>
      <c r="AG540" s="155"/>
      <c r="AJ540" s="123"/>
      <c r="AK540" s="157"/>
      <c r="AM540" s="40"/>
    </row>
    <row r="541" spans="1:39" ht="15.75" customHeight="1" x14ac:dyDescent="0.25">
      <c r="A541" s="59" t="s">
        <v>726</v>
      </c>
      <c r="B541" s="283"/>
      <c r="C541" s="7"/>
      <c r="D541" s="7"/>
      <c r="E541" s="7"/>
      <c r="F541" s="7"/>
      <c r="G541" s="286"/>
      <c r="H541" s="59"/>
      <c r="J541" s="39"/>
      <c r="K541" s="39"/>
      <c r="Z541" s="58">
        <v>2057</v>
      </c>
      <c r="AA541" s="64">
        <v>28757638</v>
      </c>
      <c r="AB541" s="38">
        <v>43368</v>
      </c>
      <c r="AC541" s="157">
        <v>151400</v>
      </c>
      <c r="AE541" s="42"/>
      <c r="AG541" s="155"/>
      <c r="AJ541" s="123"/>
      <c r="AK541" s="157"/>
      <c r="AM541" s="40"/>
    </row>
    <row r="542" spans="1:39" ht="15.75" customHeight="1" x14ac:dyDescent="0.25">
      <c r="A542" s="59" t="s">
        <v>726</v>
      </c>
      <c r="B542" s="283"/>
      <c r="C542" s="7"/>
      <c r="D542" s="7"/>
      <c r="E542" s="7"/>
      <c r="F542" s="7"/>
      <c r="G542" s="286"/>
      <c r="H542" s="59"/>
      <c r="J542" s="39"/>
      <c r="K542" s="39"/>
      <c r="Z542" s="58">
        <v>2058</v>
      </c>
      <c r="AA542" s="64">
        <v>28757638</v>
      </c>
      <c r="AB542" s="38">
        <v>43368</v>
      </c>
      <c r="AC542" s="157">
        <v>151400</v>
      </c>
      <c r="AE542" s="42"/>
      <c r="AG542" s="155"/>
      <c r="AJ542" s="123"/>
      <c r="AK542" s="157"/>
      <c r="AM542" s="40"/>
    </row>
    <row r="543" spans="1:39" ht="15.75" customHeight="1" x14ac:dyDescent="0.25">
      <c r="A543" s="59" t="s">
        <v>726</v>
      </c>
      <c r="B543" s="283"/>
      <c r="C543" s="7"/>
      <c r="D543" s="7"/>
      <c r="E543" s="7"/>
      <c r="F543" s="7"/>
      <c r="G543" s="286"/>
      <c r="H543" s="59"/>
      <c r="J543" s="39"/>
      <c r="K543" s="39"/>
      <c r="Z543" s="58">
        <v>2059</v>
      </c>
      <c r="AA543" s="64">
        <v>28757638</v>
      </c>
      <c r="AB543" s="38">
        <v>43368</v>
      </c>
      <c r="AC543" s="157">
        <v>151400</v>
      </c>
      <c r="AE543" s="42"/>
      <c r="AG543" s="155"/>
      <c r="AJ543" s="123"/>
      <c r="AK543" s="157"/>
      <c r="AM543" s="40"/>
    </row>
    <row r="544" spans="1:39" ht="15.75" customHeight="1" x14ac:dyDescent="0.25">
      <c r="A544" s="59" t="s">
        <v>726</v>
      </c>
      <c r="B544" s="283"/>
      <c r="C544" s="7"/>
      <c r="D544" s="7"/>
      <c r="E544" s="7"/>
      <c r="F544" s="7"/>
      <c r="G544" s="286"/>
      <c r="H544" s="59"/>
      <c r="J544" s="39"/>
      <c r="K544" s="39"/>
      <c r="Z544" s="58">
        <v>2060</v>
      </c>
      <c r="AA544" s="64">
        <v>28757638</v>
      </c>
      <c r="AB544" s="38">
        <v>43368</v>
      </c>
      <c r="AC544" s="157">
        <v>151400</v>
      </c>
      <c r="AE544" s="42"/>
      <c r="AG544" s="155"/>
      <c r="AJ544" s="123"/>
      <c r="AK544" s="157"/>
      <c r="AM544" s="40"/>
    </row>
    <row r="545" spans="1:39" ht="15.75" customHeight="1" x14ac:dyDescent="0.25">
      <c r="A545" s="59" t="s">
        <v>726</v>
      </c>
      <c r="B545" s="283"/>
      <c r="C545" s="7"/>
      <c r="D545" s="7"/>
      <c r="E545" s="7"/>
      <c r="F545" s="7"/>
      <c r="G545" s="286"/>
      <c r="H545" s="59"/>
      <c r="J545" s="39"/>
      <c r="K545" s="39"/>
      <c r="Z545" s="58">
        <v>2061</v>
      </c>
      <c r="AA545" s="64">
        <v>28757638</v>
      </c>
      <c r="AB545" s="38">
        <v>43368</v>
      </c>
      <c r="AC545" s="157">
        <v>151400</v>
      </c>
      <c r="AE545" s="42"/>
      <c r="AG545" s="155"/>
      <c r="AJ545" s="123"/>
      <c r="AK545" s="157"/>
      <c r="AM545" s="40"/>
    </row>
    <row r="546" spans="1:39" ht="15.75" customHeight="1" x14ac:dyDescent="0.25">
      <c r="A546" s="59" t="s">
        <v>726</v>
      </c>
      <c r="B546" s="283"/>
      <c r="C546" s="7"/>
      <c r="D546" s="7"/>
      <c r="E546" s="7"/>
      <c r="F546" s="7"/>
      <c r="G546" s="286"/>
      <c r="H546" s="59"/>
      <c r="J546" s="39"/>
      <c r="K546" s="39"/>
      <c r="Z546" s="58">
        <v>2062</v>
      </c>
      <c r="AA546" s="64">
        <v>28757638</v>
      </c>
      <c r="AB546" s="38">
        <v>43368</v>
      </c>
      <c r="AC546" s="157">
        <v>151400</v>
      </c>
      <c r="AE546" s="42"/>
      <c r="AG546" s="155"/>
      <c r="AJ546" s="123"/>
      <c r="AK546" s="157"/>
      <c r="AM546" s="40"/>
    </row>
    <row r="547" spans="1:39" ht="15.75" customHeight="1" x14ac:dyDescent="0.25">
      <c r="A547" s="59" t="s">
        <v>726</v>
      </c>
      <c r="B547" s="283"/>
      <c r="C547" s="7"/>
      <c r="D547" s="7"/>
      <c r="E547" s="7"/>
      <c r="F547" s="7"/>
      <c r="G547" s="286"/>
      <c r="H547" s="59"/>
      <c r="J547" s="39"/>
      <c r="K547" s="39"/>
      <c r="Z547" s="58">
        <v>2063</v>
      </c>
      <c r="AA547" s="64">
        <v>28757638</v>
      </c>
      <c r="AB547" s="38">
        <v>43368</v>
      </c>
      <c r="AC547" s="157">
        <v>151400</v>
      </c>
      <c r="AE547" s="42"/>
      <c r="AG547" s="155"/>
      <c r="AJ547" s="123"/>
      <c r="AK547" s="157"/>
      <c r="AM547" s="40"/>
    </row>
    <row r="548" spans="1:39" ht="15.75" customHeight="1" x14ac:dyDescent="0.25">
      <c r="A548" s="59" t="s">
        <v>726</v>
      </c>
      <c r="B548" s="284"/>
      <c r="C548" s="43"/>
      <c r="D548" s="43"/>
      <c r="E548" s="43"/>
      <c r="F548" s="43"/>
      <c r="G548" s="287"/>
      <c r="H548" s="75"/>
      <c r="I548" s="44"/>
      <c r="J548" s="45"/>
      <c r="K548" s="45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>
        <v>2064</v>
      </c>
      <c r="AA548" s="121">
        <v>28757638</v>
      </c>
      <c r="AB548" s="47">
        <v>43368</v>
      </c>
      <c r="AC548" s="158">
        <v>151400</v>
      </c>
      <c r="AD548" s="44"/>
      <c r="AE548" s="46"/>
      <c r="AF548" s="44"/>
      <c r="AG548" s="153"/>
      <c r="AH548" s="55"/>
      <c r="AI548" s="44"/>
      <c r="AJ548" s="75"/>
      <c r="AK548" s="158"/>
      <c r="AL548" s="44"/>
      <c r="AM548" s="48"/>
    </row>
    <row r="549" spans="1:39" ht="15.75" customHeight="1" x14ac:dyDescent="0.25">
      <c r="A549" s="59" t="s">
        <v>726</v>
      </c>
      <c r="B549" s="282" t="s">
        <v>713</v>
      </c>
      <c r="C549" s="33"/>
      <c r="D549" s="33"/>
      <c r="E549" s="33"/>
      <c r="F549" s="33"/>
      <c r="G549" s="285">
        <v>12</v>
      </c>
      <c r="H549" s="57">
        <v>42736</v>
      </c>
      <c r="I549" s="49">
        <v>28758589</v>
      </c>
      <c r="J549" s="53">
        <v>160</v>
      </c>
      <c r="K549" s="53">
        <v>640000</v>
      </c>
      <c r="L549" s="57">
        <v>42984</v>
      </c>
      <c r="M549" s="49">
        <v>30</v>
      </c>
      <c r="N549" s="57">
        <f>L549+M549</f>
        <v>43014</v>
      </c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>
        <v>2971</v>
      </c>
      <c r="AA549" s="122">
        <v>28758852</v>
      </c>
      <c r="AB549" s="50">
        <v>43077</v>
      </c>
      <c r="AC549" s="156">
        <v>180000</v>
      </c>
      <c r="AD549" s="49" t="s">
        <v>714</v>
      </c>
      <c r="AE549" s="56">
        <v>28759035</v>
      </c>
      <c r="AF549" s="57">
        <v>43019</v>
      </c>
      <c r="AG549" s="152">
        <v>640000</v>
      </c>
      <c r="AH549" s="35" t="s">
        <v>715</v>
      </c>
      <c r="AI549" s="49">
        <v>28759099</v>
      </c>
      <c r="AJ549" s="57">
        <v>42762</v>
      </c>
      <c r="AK549" s="156">
        <v>640000</v>
      </c>
      <c r="AL549" s="49"/>
      <c r="AM549" s="36" t="s">
        <v>711</v>
      </c>
    </row>
    <row r="550" spans="1:39" ht="15.75" customHeight="1" x14ac:dyDescent="0.25">
      <c r="A550" s="59" t="s">
        <v>726</v>
      </c>
      <c r="B550" s="283"/>
      <c r="C550" s="7"/>
      <c r="D550" s="7"/>
      <c r="E550" s="7"/>
      <c r="F550" s="7"/>
      <c r="G550" s="286"/>
      <c r="H550" s="59"/>
      <c r="J550" s="39"/>
      <c r="K550" s="39"/>
      <c r="Z550" s="58">
        <v>2972</v>
      </c>
      <c r="AA550" s="64">
        <v>28758852</v>
      </c>
      <c r="AB550" s="38">
        <v>43077</v>
      </c>
      <c r="AC550" s="157">
        <v>180000</v>
      </c>
      <c r="AE550" s="42"/>
      <c r="AG550" s="155"/>
      <c r="AJ550" s="123"/>
      <c r="AK550" s="157"/>
      <c r="AM550" s="40"/>
    </row>
    <row r="551" spans="1:39" ht="15.75" customHeight="1" x14ac:dyDescent="0.25">
      <c r="A551" s="59" t="s">
        <v>726</v>
      </c>
      <c r="B551" s="283"/>
      <c r="C551" s="7"/>
      <c r="D551" s="7"/>
      <c r="E551" s="7"/>
      <c r="F551" s="7"/>
      <c r="G551" s="286"/>
      <c r="H551" s="59"/>
      <c r="J551" s="39"/>
      <c r="K551" s="39"/>
      <c r="Z551" s="58">
        <v>2973</v>
      </c>
      <c r="AA551" s="64">
        <v>28758852</v>
      </c>
      <c r="AB551" s="38">
        <v>43077</v>
      </c>
      <c r="AC551" s="157">
        <v>180000</v>
      </c>
      <c r="AE551" s="42"/>
      <c r="AG551" s="155"/>
      <c r="AJ551" s="123"/>
      <c r="AK551" s="157"/>
      <c r="AM551" s="40"/>
    </row>
    <row r="552" spans="1:39" ht="15.75" customHeight="1" x14ac:dyDescent="0.25">
      <c r="A552" s="59" t="s">
        <v>726</v>
      </c>
      <c r="B552" s="284"/>
      <c r="C552" s="43"/>
      <c r="D552" s="43"/>
      <c r="E552" s="43"/>
      <c r="F552" s="43"/>
      <c r="G552" s="287"/>
      <c r="H552" s="75"/>
      <c r="I552" s="44"/>
      <c r="J552" s="45"/>
      <c r="K552" s="45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>
        <v>2974</v>
      </c>
      <c r="AA552" s="121">
        <v>28758852</v>
      </c>
      <c r="AB552" s="47">
        <v>43077</v>
      </c>
      <c r="AC552" s="158">
        <v>180000</v>
      </c>
      <c r="AD552" s="44"/>
      <c r="AE552" s="46"/>
      <c r="AF552" s="44"/>
      <c r="AG552" s="153"/>
      <c r="AH552" s="55"/>
      <c r="AI552" s="44"/>
      <c r="AJ552" s="75"/>
      <c r="AK552" s="158"/>
      <c r="AL552" s="44"/>
      <c r="AM552" s="48"/>
    </row>
    <row r="553" spans="1:39" ht="15.75" customHeight="1" x14ac:dyDescent="0.25">
      <c r="A553" s="59" t="s">
        <v>726</v>
      </c>
      <c r="B553" s="19" t="s">
        <v>716</v>
      </c>
      <c r="C553" s="67"/>
      <c r="D553" s="67"/>
      <c r="E553" s="67"/>
      <c r="F553" s="67"/>
      <c r="G553" s="21">
        <v>13</v>
      </c>
      <c r="H553" s="69">
        <v>42736</v>
      </c>
      <c r="I553" s="70">
        <v>28759520</v>
      </c>
      <c r="J553" s="68">
        <v>3719.13</v>
      </c>
      <c r="K553" s="68">
        <v>1115739</v>
      </c>
      <c r="L553" s="69">
        <v>42986</v>
      </c>
      <c r="M553" s="70">
        <v>30</v>
      </c>
      <c r="N553" s="69">
        <f>L553+M553</f>
        <v>43016</v>
      </c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>
        <v>391614</v>
      </c>
      <c r="AA553" s="124">
        <v>28759719</v>
      </c>
      <c r="AB553" s="73">
        <v>43063</v>
      </c>
      <c r="AC553" s="162">
        <v>1115735.8500000001</v>
      </c>
      <c r="AD553" s="70" t="s">
        <v>717</v>
      </c>
      <c r="AE553" s="71">
        <v>28760200</v>
      </c>
      <c r="AF553" s="69">
        <v>43027</v>
      </c>
      <c r="AG553" s="154">
        <v>1115739</v>
      </c>
      <c r="AH553" s="74" t="s">
        <v>718</v>
      </c>
      <c r="AI553" s="70">
        <v>28760279</v>
      </c>
      <c r="AJ553" s="69">
        <v>43084</v>
      </c>
      <c r="AK553" s="162">
        <v>1115735.8500000001</v>
      </c>
      <c r="AL553" s="70"/>
      <c r="AM553" s="72" t="s">
        <v>711</v>
      </c>
    </row>
    <row r="554" spans="1:39" ht="15.75" customHeight="1" x14ac:dyDescent="0.25">
      <c r="A554" s="59" t="s">
        <v>726</v>
      </c>
      <c r="B554" s="282" t="s">
        <v>719</v>
      </c>
      <c r="C554" s="33"/>
      <c r="D554" s="33"/>
      <c r="E554" s="33"/>
      <c r="F554" s="33"/>
      <c r="G554" s="285">
        <v>2</v>
      </c>
      <c r="H554" s="57">
        <v>43101</v>
      </c>
      <c r="I554" s="49">
        <v>28760617</v>
      </c>
      <c r="J554" s="53">
        <v>3155.5</v>
      </c>
      <c r="K554" s="272">
        <v>290306</v>
      </c>
      <c r="L554" s="280">
        <v>43174</v>
      </c>
      <c r="M554" s="278">
        <v>30</v>
      </c>
      <c r="N554" s="280">
        <f>L554+M554</f>
        <v>43204</v>
      </c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>
        <v>135189</v>
      </c>
      <c r="AA554" s="122">
        <v>28760947</v>
      </c>
      <c r="AB554" s="50">
        <v>43214</v>
      </c>
      <c r="AC554" s="156">
        <v>290306</v>
      </c>
      <c r="AD554" s="49" t="s">
        <v>720</v>
      </c>
      <c r="AE554" s="56">
        <v>28760993</v>
      </c>
      <c r="AF554" s="57">
        <v>43201</v>
      </c>
      <c r="AG554" s="152">
        <v>209306</v>
      </c>
      <c r="AH554" s="35" t="s">
        <v>721</v>
      </c>
      <c r="AI554" s="49">
        <v>28761018</v>
      </c>
      <c r="AJ554" s="57">
        <v>43257</v>
      </c>
      <c r="AK554" s="156">
        <v>290306</v>
      </c>
      <c r="AL554" s="49"/>
      <c r="AM554" s="36" t="s">
        <v>711</v>
      </c>
    </row>
    <row r="555" spans="1:39" ht="15.75" customHeight="1" x14ac:dyDescent="0.25">
      <c r="A555" s="141" t="s">
        <v>726</v>
      </c>
      <c r="B555" s="296"/>
      <c r="C555" s="93"/>
      <c r="D555" s="93"/>
      <c r="E555" s="93"/>
      <c r="F555" s="93"/>
      <c r="G555" s="286"/>
      <c r="H555" s="141"/>
      <c r="I555" s="140"/>
      <c r="J555" s="132">
        <v>3155.5</v>
      </c>
      <c r="K555" s="302"/>
      <c r="L555" s="302"/>
      <c r="M555" s="302"/>
      <c r="N555" s="302"/>
      <c r="O555" s="140"/>
      <c r="P555" s="140"/>
      <c r="Q555" s="140"/>
      <c r="R555" s="140"/>
      <c r="S555" s="140"/>
      <c r="T555" s="140"/>
      <c r="U555" s="140"/>
      <c r="V555" s="140"/>
      <c r="W555" s="140"/>
      <c r="X555" s="140"/>
      <c r="Y555" s="140"/>
      <c r="Z555" s="140"/>
      <c r="AA555" s="194"/>
      <c r="AB555" s="134"/>
      <c r="AC555" s="159"/>
      <c r="AD555" s="140"/>
      <c r="AE555" s="138"/>
      <c r="AF555" s="140"/>
      <c r="AG555" s="172"/>
      <c r="AH555" s="135"/>
      <c r="AI555" s="140"/>
      <c r="AJ555" s="141"/>
      <c r="AK555" s="159"/>
      <c r="AL555" s="140"/>
      <c r="AM555" s="40"/>
    </row>
    <row r="556" spans="1:39" ht="15.75" customHeight="1" x14ac:dyDescent="0.25">
      <c r="A556" s="240">
        <v>42736</v>
      </c>
      <c r="B556" s="201" t="s">
        <v>796</v>
      </c>
      <c r="C556" s="201"/>
      <c r="D556" s="201"/>
      <c r="E556" s="201"/>
      <c r="F556" s="202" t="s">
        <v>805</v>
      </c>
      <c r="G556" s="361">
        <v>44</v>
      </c>
      <c r="H556" s="368">
        <v>45658</v>
      </c>
      <c r="I556" s="361">
        <v>36998852</v>
      </c>
      <c r="J556" s="357">
        <v>350000</v>
      </c>
      <c r="K556" s="357">
        <v>350000</v>
      </c>
      <c r="L556" s="359">
        <v>45937</v>
      </c>
      <c r="M556" s="361">
        <v>270</v>
      </c>
      <c r="N556" s="359">
        <f>L556+M556</f>
        <v>46207</v>
      </c>
      <c r="O556" s="201"/>
      <c r="P556" s="201"/>
      <c r="Q556" s="201"/>
      <c r="R556" s="201"/>
      <c r="S556" s="201"/>
      <c r="T556" s="201"/>
      <c r="U556" s="201"/>
      <c r="V556" s="201"/>
      <c r="W556" s="201"/>
      <c r="X556" s="201"/>
      <c r="Y556" s="201"/>
      <c r="Z556" s="205">
        <v>103</v>
      </c>
      <c r="AA556" s="206">
        <v>37990223</v>
      </c>
      <c r="AB556" s="204">
        <v>45992</v>
      </c>
      <c r="AC556" s="207">
        <v>64854.66</v>
      </c>
      <c r="AD556" s="208" t="s">
        <v>799</v>
      </c>
      <c r="AE556" s="201">
        <v>37093492</v>
      </c>
      <c r="AF556" s="209">
        <v>45946</v>
      </c>
      <c r="AG556" s="221">
        <v>306717.73</v>
      </c>
      <c r="AH556" s="208" t="s">
        <v>798</v>
      </c>
      <c r="AI556" s="201">
        <v>39802664</v>
      </c>
      <c r="AJ556" s="210">
        <v>46016</v>
      </c>
      <c r="AK556" s="207">
        <v>64854.66</v>
      </c>
      <c r="AL556" s="201"/>
      <c r="AM556" s="211" t="s">
        <v>800</v>
      </c>
    </row>
    <row r="557" spans="1:39" ht="15.75" customHeight="1" x14ac:dyDescent="0.25">
      <c r="A557" s="241">
        <v>42736</v>
      </c>
      <c r="B557" s="145" t="s">
        <v>796</v>
      </c>
      <c r="C557" s="145"/>
      <c r="D557" s="145"/>
      <c r="E557" s="145"/>
      <c r="F557" s="212" t="s">
        <v>805</v>
      </c>
      <c r="G557" s="349"/>
      <c r="H557" s="369"/>
      <c r="I557" s="349"/>
      <c r="J557" s="358"/>
      <c r="K557" s="358"/>
      <c r="L557" s="360"/>
      <c r="M557" s="349"/>
      <c r="N557" s="349"/>
      <c r="O557" s="145"/>
      <c r="P557" s="145"/>
      <c r="Q557" s="145"/>
      <c r="R557" s="145"/>
      <c r="S557" s="145"/>
      <c r="T557" s="145"/>
      <c r="U557" s="145"/>
      <c r="V557" s="145"/>
      <c r="W557" s="145"/>
      <c r="X557" s="145"/>
      <c r="Y557" s="145"/>
      <c r="Z557" s="213"/>
      <c r="AA557" s="214"/>
      <c r="AB557" s="151"/>
      <c r="AC557" s="161"/>
      <c r="AD557" s="218" t="s">
        <v>797</v>
      </c>
      <c r="AE557" s="145">
        <v>38624193</v>
      </c>
      <c r="AF557" s="147">
        <v>46022</v>
      </c>
      <c r="AG557" s="235">
        <v>43282.27</v>
      </c>
      <c r="AH557" s="215"/>
      <c r="AI557" s="145"/>
      <c r="AJ557" s="216"/>
      <c r="AK557" s="161"/>
      <c r="AL557" s="145"/>
      <c r="AM557" s="217" t="s">
        <v>800</v>
      </c>
    </row>
    <row r="558" spans="1:39" ht="15.75" customHeight="1" x14ac:dyDescent="0.3">
      <c r="A558" s="240">
        <v>42736</v>
      </c>
      <c r="B558" s="201" t="s">
        <v>801</v>
      </c>
      <c r="C558" s="201"/>
      <c r="D558" s="201"/>
      <c r="E558" s="201"/>
      <c r="F558" s="220" t="s">
        <v>802</v>
      </c>
      <c r="G558" s="338">
        <v>8</v>
      </c>
      <c r="H558" s="350">
        <v>45658</v>
      </c>
      <c r="I558" s="338">
        <v>33723835</v>
      </c>
      <c r="J558" s="351">
        <v>606380</v>
      </c>
      <c r="K558" s="352">
        <v>606380</v>
      </c>
      <c r="L558" s="354">
        <v>45796</v>
      </c>
      <c r="M558" s="338">
        <v>30</v>
      </c>
      <c r="N558" s="354">
        <f>L558+M558</f>
        <v>45826</v>
      </c>
      <c r="O558" s="201"/>
      <c r="P558" s="201"/>
      <c r="Q558" s="355" t="s">
        <v>803</v>
      </c>
      <c r="R558" s="338">
        <v>33855924</v>
      </c>
      <c r="S558" s="201"/>
      <c r="T558" s="201"/>
      <c r="U558" s="201"/>
      <c r="V558" s="201"/>
      <c r="W558" s="201"/>
      <c r="X558" s="201"/>
      <c r="Y558" s="201"/>
      <c r="Z558" s="205">
        <v>1044</v>
      </c>
      <c r="AA558" s="206">
        <v>35462653</v>
      </c>
      <c r="AB558" s="204">
        <v>45847</v>
      </c>
      <c r="AC558" s="207">
        <v>41685</v>
      </c>
      <c r="AD558" s="202" t="s">
        <v>807</v>
      </c>
      <c r="AE558" s="201">
        <v>33453833</v>
      </c>
      <c r="AF558" s="209">
        <v>45777</v>
      </c>
      <c r="AG558" s="254">
        <v>421150</v>
      </c>
      <c r="AH558" s="202" t="s">
        <v>808</v>
      </c>
      <c r="AI558" s="201">
        <v>39064735</v>
      </c>
      <c r="AJ558" s="210">
        <v>45967</v>
      </c>
      <c r="AK558" s="207">
        <v>6770</v>
      </c>
      <c r="AL558" s="201"/>
      <c r="AM558" s="223" t="s">
        <v>77</v>
      </c>
    </row>
    <row r="559" spans="1:39" ht="15.75" customHeight="1" x14ac:dyDescent="0.3">
      <c r="A559" s="242">
        <v>42736</v>
      </c>
      <c r="B559" s="137" t="s">
        <v>801</v>
      </c>
      <c r="C559" s="137"/>
      <c r="D559" s="137"/>
      <c r="E559" s="137"/>
      <c r="F559" s="224" t="s">
        <v>802</v>
      </c>
      <c r="G559" s="339"/>
      <c r="H559" s="293"/>
      <c r="I559" s="339"/>
      <c r="J559" s="342"/>
      <c r="K559" s="353"/>
      <c r="L559" s="344"/>
      <c r="M559" s="339"/>
      <c r="N559" s="344"/>
      <c r="O559" s="137"/>
      <c r="P559" s="137"/>
      <c r="Q559" s="356"/>
      <c r="R559" s="339"/>
      <c r="S559" s="137"/>
      <c r="T559" s="137"/>
      <c r="U559" s="137"/>
      <c r="V559" s="137"/>
      <c r="W559" s="137"/>
      <c r="X559" s="137"/>
      <c r="Y559" s="137"/>
      <c r="Z559" s="197">
        <v>1044</v>
      </c>
      <c r="AA559" s="194">
        <v>35462653</v>
      </c>
      <c r="AB559" s="167">
        <v>45847</v>
      </c>
      <c r="AC559" s="160"/>
      <c r="AD559" s="219" t="s">
        <v>807</v>
      </c>
      <c r="AE559" s="137">
        <v>33453833</v>
      </c>
      <c r="AF559" s="139">
        <v>45777</v>
      </c>
      <c r="AG559" s="255"/>
      <c r="AH559" s="219" t="s">
        <v>812</v>
      </c>
      <c r="AI559" s="137">
        <v>39064735</v>
      </c>
      <c r="AJ559" s="226">
        <v>45967</v>
      </c>
      <c r="AK559" s="160">
        <v>34915</v>
      </c>
      <c r="AL559" s="137"/>
      <c r="AM559" s="227" t="s">
        <v>659</v>
      </c>
    </row>
    <row r="560" spans="1:39" ht="15.75" customHeight="1" x14ac:dyDescent="0.3">
      <c r="A560" s="242">
        <v>42736</v>
      </c>
      <c r="B560" s="137" t="s">
        <v>801</v>
      </c>
      <c r="C560" s="137"/>
      <c r="D560" s="137"/>
      <c r="E560" s="137"/>
      <c r="F560" s="224" t="s">
        <v>802</v>
      </c>
      <c r="G560" s="339"/>
      <c r="H560" s="293"/>
      <c r="I560" s="339"/>
      <c r="J560" s="342"/>
      <c r="K560" s="353"/>
      <c r="L560" s="344"/>
      <c r="M560" s="339"/>
      <c r="N560" s="344"/>
      <c r="O560" s="137"/>
      <c r="P560" s="137"/>
      <c r="Q560" s="356"/>
      <c r="R560" s="339"/>
      <c r="S560" s="137"/>
      <c r="T560" s="137"/>
      <c r="U560" s="137"/>
      <c r="V560" s="137"/>
      <c r="W560" s="137"/>
      <c r="X560" s="137"/>
      <c r="Y560" s="137"/>
      <c r="Z560" s="197">
        <v>1046</v>
      </c>
      <c r="AA560" s="194">
        <v>35462670</v>
      </c>
      <c r="AB560" s="167">
        <v>45848</v>
      </c>
      <c r="AC560" s="160">
        <v>45848</v>
      </c>
      <c r="AD560" s="219" t="s">
        <v>807</v>
      </c>
      <c r="AE560" s="137">
        <v>33453833</v>
      </c>
      <c r="AF560" s="139">
        <v>45777</v>
      </c>
      <c r="AG560" s="255"/>
      <c r="AH560" s="219" t="s">
        <v>809</v>
      </c>
      <c r="AI560" s="137">
        <v>39064735</v>
      </c>
      <c r="AJ560" s="226">
        <v>45967</v>
      </c>
      <c r="AK560" s="160">
        <v>17250</v>
      </c>
      <c r="AL560" s="137"/>
      <c r="AM560" s="227" t="s">
        <v>77</v>
      </c>
    </row>
    <row r="561" spans="1:39" ht="15.75" customHeight="1" x14ac:dyDescent="0.3">
      <c r="A561" s="242">
        <v>42736</v>
      </c>
      <c r="B561" s="137" t="s">
        <v>801</v>
      </c>
      <c r="C561" s="137"/>
      <c r="D561" s="137"/>
      <c r="E561" s="137"/>
      <c r="F561" s="224" t="s">
        <v>802</v>
      </c>
      <c r="G561" s="339"/>
      <c r="H561" s="293"/>
      <c r="I561" s="339"/>
      <c r="J561" s="342"/>
      <c r="K561" s="353"/>
      <c r="L561" s="344"/>
      <c r="M561" s="339"/>
      <c r="N561" s="344"/>
      <c r="O561" s="137"/>
      <c r="P561" s="137"/>
      <c r="Q561" s="356"/>
      <c r="R561" s="339"/>
      <c r="S561" s="137"/>
      <c r="T561" s="137"/>
      <c r="U561" s="137"/>
      <c r="V561" s="137"/>
      <c r="W561" s="137"/>
      <c r="X561" s="137"/>
      <c r="Y561" s="137"/>
      <c r="Z561" s="197">
        <v>1046</v>
      </c>
      <c r="AA561" s="194">
        <v>35462670</v>
      </c>
      <c r="AB561" s="167">
        <v>45848</v>
      </c>
      <c r="AC561" s="160"/>
      <c r="AD561" s="219" t="s">
        <v>807</v>
      </c>
      <c r="AE561" s="137">
        <v>33453833</v>
      </c>
      <c r="AF561" s="139">
        <v>45777</v>
      </c>
      <c r="AG561" s="255"/>
      <c r="AH561" s="219" t="s">
        <v>813</v>
      </c>
      <c r="AI561" s="137">
        <v>39064735</v>
      </c>
      <c r="AJ561" s="226">
        <v>45967</v>
      </c>
      <c r="AK561" s="160">
        <v>34060</v>
      </c>
      <c r="AL561" s="137"/>
      <c r="AM561" s="227" t="s">
        <v>659</v>
      </c>
    </row>
    <row r="562" spans="1:39" ht="15.75" customHeight="1" x14ac:dyDescent="0.3">
      <c r="A562" s="242">
        <v>42736</v>
      </c>
      <c r="B562" s="137" t="s">
        <v>801</v>
      </c>
      <c r="C562" s="137"/>
      <c r="D562" s="137"/>
      <c r="E562" s="137"/>
      <c r="F562" s="224" t="s">
        <v>802</v>
      </c>
      <c r="G562" s="339"/>
      <c r="H562" s="293"/>
      <c r="I562" s="339"/>
      <c r="J562" s="342"/>
      <c r="K562" s="353"/>
      <c r="L562" s="344"/>
      <c r="M562" s="339"/>
      <c r="N562" s="344"/>
      <c r="O562" s="137"/>
      <c r="P562" s="137"/>
      <c r="Q562" s="356"/>
      <c r="R562" s="339"/>
      <c r="S562" s="137"/>
      <c r="T562" s="137"/>
      <c r="U562" s="137"/>
      <c r="V562" s="137"/>
      <c r="W562" s="137"/>
      <c r="X562" s="137"/>
      <c r="Y562" s="137"/>
      <c r="Z562" s="197">
        <v>1068</v>
      </c>
      <c r="AA562" s="194">
        <v>35462691</v>
      </c>
      <c r="AB562" s="167">
        <v>45859</v>
      </c>
      <c r="AC562" s="160">
        <v>16650</v>
      </c>
      <c r="AD562" s="219" t="s">
        <v>807</v>
      </c>
      <c r="AE562" s="137">
        <v>33453833</v>
      </c>
      <c r="AF562" s="139">
        <v>45777</v>
      </c>
      <c r="AG562" s="225"/>
      <c r="AH562" s="219" t="s">
        <v>810</v>
      </c>
      <c r="AI562" s="137">
        <v>39064735</v>
      </c>
      <c r="AJ562" s="226">
        <v>45967</v>
      </c>
      <c r="AK562" s="160">
        <v>16650</v>
      </c>
      <c r="AL562" s="137"/>
      <c r="AM562" s="227" t="s">
        <v>77</v>
      </c>
    </row>
    <row r="563" spans="1:39" ht="15.75" customHeight="1" x14ac:dyDescent="0.3">
      <c r="A563" s="242">
        <v>42736</v>
      </c>
      <c r="B563" s="137" t="s">
        <v>801</v>
      </c>
      <c r="C563" s="137"/>
      <c r="D563" s="137"/>
      <c r="E563" s="137"/>
      <c r="F563" s="224" t="s">
        <v>802</v>
      </c>
      <c r="G563" s="339"/>
      <c r="H563" s="293"/>
      <c r="I563" s="339"/>
      <c r="J563" s="342"/>
      <c r="K563" s="353"/>
      <c r="L563" s="344"/>
      <c r="M563" s="339"/>
      <c r="N563" s="344"/>
      <c r="O563" s="137"/>
      <c r="P563" s="137"/>
      <c r="Q563" s="356"/>
      <c r="R563" s="339"/>
      <c r="S563" s="137"/>
      <c r="T563" s="137"/>
      <c r="U563" s="137"/>
      <c r="V563" s="137"/>
      <c r="W563" s="137"/>
      <c r="X563" s="137"/>
      <c r="Y563" s="137"/>
      <c r="Z563" s="137">
        <v>1070</v>
      </c>
      <c r="AA563" s="194">
        <v>35462716</v>
      </c>
      <c r="AB563" s="167">
        <v>45860</v>
      </c>
      <c r="AC563" s="160">
        <v>21115</v>
      </c>
      <c r="AD563" s="219" t="s">
        <v>807</v>
      </c>
      <c r="AE563" s="137">
        <v>33453833</v>
      </c>
      <c r="AF563" s="139">
        <v>45777</v>
      </c>
      <c r="AG563" s="225"/>
      <c r="AH563" s="219" t="s">
        <v>811</v>
      </c>
      <c r="AI563" s="137">
        <v>39064735</v>
      </c>
      <c r="AJ563" s="226">
        <v>45967</v>
      </c>
      <c r="AK563" s="160">
        <v>3880</v>
      </c>
      <c r="AL563" s="137"/>
      <c r="AM563" s="227" t="s">
        <v>77</v>
      </c>
    </row>
    <row r="564" spans="1:39" ht="15.75" customHeight="1" x14ac:dyDescent="0.3">
      <c r="A564" s="242">
        <v>42736</v>
      </c>
      <c r="B564" s="137" t="s">
        <v>801</v>
      </c>
      <c r="C564" s="137"/>
      <c r="D564" s="137"/>
      <c r="E564" s="137"/>
      <c r="F564" s="224" t="s">
        <v>802</v>
      </c>
      <c r="G564" s="339"/>
      <c r="H564" s="293"/>
      <c r="I564" s="339"/>
      <c r="J564" s="342"/>
      <c r="K564" s="353"/>
      <c r="L564" s="344"/>
      <c r="M564" s="339"/>
      <c r="N564" s="344"/>
      <c r="O564" s="137"/>
      <c r="P564" s="137"/>
      <c r="Q564" s="356"/>
      <c r="R564" s="339"/>
      <c r="S564" s="137"/>
      <c r="T564" s="137"/>
      <c r="U564" s="137"/>
      <c r="V564" s="137"/>
      <c r="W564" s="137"/>
      <c r="X564" s="137"/>
      <c r="Y564" s="137"/>
      <c r="Z564" s="137">
        <v>1070</v>
      </c>
      <c r="AA564" s="194">
        <v>35462716</v>
      </c>
      <c r="AB564" s="167">
        <v>45860</v>
      </c>
      <c r="AC564" s="160"/>
      <c r="AD564" s="219" t="s">
        <v>807</v>
      </c>
      <c r="AE564" s="137">
        <v>33453833</v>
      </c>
      <c r="AF564" s="139">
        <v>45777</v>
      </c>
      <c r="AG564" s="225"/>
      <c r="AH564" s="219" t="s">
        <v>811</v>
      </c>
      <c r="AI564" s="137">
        <v>39064735</v>
      </c>
      <c r="AJ564" s="226">
        <v>45967</v>
      </c>
      <c r="AK564" s="160">
        <v>3880</v>
      </c>
      <c r="AL564" s="137"/>
      <c r="AM564" s="227" t="s">
        <v>659</v>
      </c>
    </row>
    <row r="565" spans="1:39" ht="15.75" customHeight="1" x14ac:dyDescent="0.3">
      <c r="A565" s="242">
        <v>42736</v>
      </c>
      <c r="B565" s="137" t="s">
        <v>801</v>
      </c>
      <c r="C565" s="137"/>
      <c r="D565" s="137"/>
      <c r="E565" s="137"/>
      <c r="F565" s="224" t="s">
        <v>802</v>
      </c>
      <c r="G565" s="339"/>
      <c r="H565" s="293"/>
      <c r="I565" s="339"/>
      <c r="J565" s="342"/>
      <c r="K565" s="353"/>
      <c r="L565" s="344"/>
      <c r="M565" s="339"/>
      <c r="N565" s="344"/>
      <c r="O565" s="137"/>
      <c r="P565" s="137"/>
      <c r="Q565" s="356"/>
      <c r="R565" s="339"/>
      <c r="S565" s="137"/>
      <c r="T565" s="137"/>
      <c r="U565" s="137"/>
      <c r="V565" s="137"/>
      <c r="W565" s="137"/>
      <c r="X565" s="137"/>
      <c r="Y565" s="137"/>
      <c r="Z565" s="137">
        <v>1106</v>
      </c>
      <c r="AA565" s="194">
        <v>36761297</v>
      </c>
      <c r="AB565" s="167">
        <v>45876</v>
      </c>
      <c r="AC565" s="160">
        <v>23250</v>
      </c>
      <c r="AD565" s="219" t="s">
        <v>807</v>
      </c>
      <c r="AE565" s="137">
        <v>33453833</v>
      </c>
      <c r="AF565" s="139">
        <v>45777</v>
      </c>
      <c r="AG565" s="225"/>
      <c r="AH565" s="219" t="s">
        <v>814</v>
      </c>
      <c r="AI565" s="137">
        <v>39064735</v>
      </c>
      <c r="AJ565" s="226">
        <v>46016</v>
      </c>
      <c r="AK565" s="160">
        <v>23250</v>
      </c>
      <c r="AL565" s="137"/>
      <c r="AM565" s="227" t="s">
        <v>659</v>
      </c>
    </row>
    <row r="566" spans="1:39" ht="15.75" customHeight="1" x14ac:dyDescent="0.3">
      <c r="A566" s="242">
        <v>42736</v>
      </c>
      <c r="B566" s="137" t="s">
        <v>801</v>
      </c>
      <c r="C566" s="137"/>
      <c r="D566" s="137"/>
      <c r="E566" s="137"/>
      <c r="F566" s="224" t="s">
        <v>802</v>
      </c>
      <c r="G566" s="339"/>
      <c r="H566" s="293"/>
      <c r="I566" s="339"/>
      <c r="J566" s="342"/>
      <c r="K566" s="353"/>
      <c r="L566" s="344"/>
      <c r="M566" s="339"/>
      <c r="N566" s="344"/>
      <c r="O566" s="137"/>
      <c r="P566" s="137"/>
      <c r="Q566" s="356"/>
      <c r="R566" s="339"/>
      <c r="S566" s="137"/>
      <c r="T566" s="137"/>
      <c r="U566" s="137"/>
      <c r="V566" s="137"/>
      <c r="W566" s="137"/>
      <c r="X566" s="137"/>
      <c r="Y566" s="137"/>
      <c r="Z566" s="137">
        <v>1311</v>
      </c>
      <c r="AA566" s="194">
        <v>38238877</v>
      </c>
      <c r="AB566" s="167">
        <v>45993</v>
      </c>
      <c r="AC566" s="160">
        <v>44635</v>
      </c>
      <c r="AD566" s="219" t="s">
        <v>807</v>
      </c>
      <c r="AE566" s="137">
        <v>33453833</v>
      </c>
      <c r="AF566" s="139">
        <v>45777</v>
      </c>
      <c r="AG566" s="225"/>
      <c r="AH566" s="219" t="s">
        <v>815</v>
      </c>
      <c r="AI566" s="137">
        <v>39064735</v>
      </c>
      <c r="AJ566" s="226">
        <v>46016</v>
      </c>
      <c r="AK566" s="160">
        <v>44635</v>
      </c>
      <c r="AL566" s="137"/>
      <c r="AM566" s="227" t="s">
        <v>659</v>
      </c>
    </row>
    <row r="567" spans="1:39" s="198" customFormat="1" ht="15.75" customHeight="1" x14ac:dyDescent="0.3">
      <c r="A567" s="242">
        <v>42736</v>
      </c>
      <c r="B567" s="137" t="s">
        <v>801</v>
      </c>
      <c r="C567" s="228"/>
      <c r="D567" s="228"/>
      <c r="E567" s="228"/>
      <c r="F567" s="224" t="s">
        <v>802</v>
      </c>
      <c r="G567" s="339"/>
      <c r="H567" s="293"/>
      <c r="I567" s="339"/>
      <c r="J567" s="342"/>
      <c r="K567" s="353"/>
      <c r="L567" s="344"/>
      <c r="M567" s="339"/>
      <c r="N567" s="344"/>
      <c r="O567" s="228"/>
      <c r="P567" s="228"/>
      <c r="Q567" s="356"/>
      <c r="R567" s="339"/>
      <c r="S567" s="228"/>
      <c r="T567" s="228"/>
      <c r="U567" s="228"/>
      <c r="V567" s="228"/>
      <c r="W567" s="228"/>
      <c r="X567" s="228"/>
      <c r="Y567" s="228"/>
      <c r="Z567" s="228">
        <v>1335</v>
      </c>
      <c r="AA567" s="228">
        <v>38536778</v>
      </c>
      <c r="AB567" s="229">
        <v>46008</v>
      </c>
      <c r="AC567" s="230">
        <v>11100</v>
      </c>
      <c r="AD567" s="228"/>
      <c r="AE567" s="228"/>
      <c r="AF567" s="228"/>
      <c r="AG567" s="256"/>
      <c r="AH567" s="231"/>
      <c r="AI567" s="228"/>
      <c r="AJ567" s="232"/>
      <c r="AK567" s="230"/>
      <c r="AL567" s="228"/>
      <c r="AM567" s="233"/>
    </row>
    <row r="568" spans="1:39" ht="15.75" customHeight="1" x14ac:dyDescent="0.3">
      <c r="A568" s="242">
        <v>42736</v>
      </c>
      <c r="B568" s="137" t="s">
        <v>801</v>
      </c>
      <c r="C568" s="137"/>
      <c r="D568" s="137"/>
      <c r="E568" s="137"/>
      <c r="F568" s="224" t="s">
        <v>802</v>
      </c>
      <c r="G568" s="339">
        <v>9</v>
      </c>
      <c r="H568" s="293">
        <v>45658</v>
      </c>
      <c r="I568" s="339">
        <v>33727104</v>
      </c>
      <c r="J568" s="342">
        <v>686373</v>
      </c>
      <c r="K568" s="342">
        <v>686373</v>
      </c>
      <c r="L568" s="344">
        <v>45803</v>
      </c>
      <c r="M568" s="339">
        <v>30</v>
      </c>
      <c r="N568" s="344">
        <f>L568+M568</f>
        <v>45833</v>
      </c>
      <c r="O568" s="137"/>
      <c r="P568" s="137"/>
      <c r="Q568" s="346" t="s">
        <v>804</v>
      </c>
      <c r="R568" s="348">
        <v>33856146</v>
      </c>
      <c r="S568" s="137"/>
      <c r="T568" s="137"/>
      <c r="U568" s="137"/>
      <c r="V568" s="137"/>
      <c r="W568" s="137"/>
      <c r="X568" s="137"/>
      <c r="Y568" s="137"/>
      <c r="Z568" s="137">
        <v>418</v>
      </c>
      <c r="AA568" s="194">
        <v>38332804</v>
      </c>
      <c r="AB568" s="167">
        <v>45974</v>
      </c>
      <c r="AC568" s="160">
        <v>652393</v>
      </c>
      <c r="AD568" s="219" t="s">
        <v>816</v>
      </c>
      <c r="AE568" s="137">
        <v>33453841</v>
      </c>
      <c r="AF568" s="139">
        <v>45777</v>
      </c>
      <c r="AG568" s="225">
        <v>686373</v>
      </c>
      <c r="AH568" s="219" t="s">
        <v>817</v>
      </c>
      <c r="AI568" s="137">
        <v>38961114</v>
      </c>
      <c r="AJ568" s="226">
        <v>46016</v>
      </c>
      <c r="AK568" s="160">
        <v>652393</v>
      </c>
      <c r="AL568" s="137"/>
      <c r="AM568" s="234" t="s">
        <v>659</v>
      </c>
    </row>
    <row r="569" spans="1:39" s="137" customFormat="1" ht="15.75" customHeight="1" x14ac:dyDescent="0.3">
      <c r="A569" s="242">
        <v>42736</v>
      </c>
      <c r="B569" s="137" t="s">
        <v>801</v>
      </c>
      <c r="F569" s="224" t="s">
        <v>802</v>
      </c>
      <c r="G569" s="340"/>
      <c r="H569" s="341"/>
      <c r="I569" s="340"/>
      <c r="J569" s="343"/>
      <c r="K569" s="343"/>
      <c r="L569" s="345"/>
      <c r="M569" s="340"/>
      <c r="N569" s="345"/>
      <c r="Q569" s="347"/>
      <c r="R569" s="349"/>
      <c r="Z569" s="137">
        <v>444</v>
      </c>
      <c r="AA569" s="194">
        <v>38684520</v>
      </c>
      <c r="AB569" s="167">
        <v>45999</v>
      </c>
      <c r="AC569" s="160">
        <v>33980</v>
      </c>
      <c r="AD569" s="137" t="s">
        <v>806</v>
      </c>
      <c r="AE569" s="137">
        <v>33453824</v>
      </c>
      <c r="AF569" s="139">
        <v>45777</v>
      </c>
      <c r="AG569" s="225">
        <v>185230</v>
      </c>
      <c r="AH569" s="142"/>
      <c r="AJ569" s="226"/>
      <c r="AK569" s="160"/>
      <c r="AM569" s="244"/>
    </row>
    <row r="570" spans="1:39" s="201" customFormat="1" ht="15.75" customHeight="1" x14ac:dyDescent="0.25">
      <c r="A570" s="237">
        <v>43101</v>
      </c>
      <c r="B570" s="201" t="s">
        <v>819</v>
      </c>
      <c r="F570" s="201" t="s">
        <v>820</v>
      </c>
      <c r="G570" s="338">
        <v>9</v>
      </c>
      <c r="H570" s="350">
        <v>44562</v>
      </c>
      <c r="I570" s="338">
        <v>20991120</v>
      </c>
      <c r="J570" s="351">
        <v>269355.57</v>
      </c>
      <c r="K570" s="351">
        <v>269355.57</v>
      </c>
      <c r="L570" s="354">
        <v>44599</v>
      </c>
      <c r="M570" s="245"/>
      <c r="N570" s="354">
        <v>45288</v>
      </c>
      <c r="Z570" s="201">
        <v>139</v>
      </c>
      <c r="AA570" s="206">
        <v>14106477</v>
      </c>
      <c r="AB570" s="204">
        <v>44670</v>
      </c>
      <c r="AC570" s="222">
        <v>51819.19</v>
      </c>
      <c r="AD570" s="201" t="s">
        <v>821</v>
      </c>
      <c r="AE570" s="201">
        <v>14107413</v>
      </c>
      <c r="AF570" s="209">
        <v>44676</v>
      </c>
      <c r="AG570" s="221">
        <v>250096.71</v>
      </c>
      <c r="AH570" s="203" t="s">
        <v>822</v>
      </c>
      <c r="AI570" s="201">
        <v>15057094</v>
      </c>
      <c r="AJ570" s="210">
        <v>44719</v>
      </c>
      <c r="AK570" s="207">
        <v>51819.19</v>
      </c>
      <c r="AM570" s="246" t="s">
        <v>77</v>
      </c>
    </row>
    <row r="571" spans="1:39" s="137" customFormat="1" ht="15.75" customHeight="1" x14ac:dyDescent="0.25">
      <c r="A571" s="239">
        <v>43101</v>
      </c>
      <c r="B571" s="137" t="s">
        <v>819</v>
      </c>
      <c r="F571" s="137" t="s">
        <v>820</v>
      </c>
      <c r="G571" s="339"/>
      <c r="H571" s="293"/>
      <c r="I571" s="339"/>
      <c r="J571" s="342"/>
      <c r="K571" s="342"/>
      <c r="L571" s="344"/>
      <c r="M571" s="247"/>
      <c r="N571" s="344"/>
      <c r="Z571" s="137">
        <v>160</v>
      </c>
      <c r="AA571" s="194">
        <v>15978855</v>
      </c>
      <c r="AB571" s="167">
        <v>44789</v>
      </c>
      <c r="AC571" s="160">
        <v>72796.86</v>
      </c>
      <c r="AD571" s="137" t="s">
        <v>821</v>
      </c>
      <c r="AE571" s="137">
        <v>14107413</v>
      </c>
      <c r="AF571" s="139">
        <v>44676</v>
      </c>
      <c r="AG571" s="225"/>
      <c r="AH571" s="142" t="s">
        <v>823</v>
      </c>
      <c r="AI571" s="137">
        <v>16238520</v>
      </c>
      <c r="AJ571" s="226">
        <v>44803</v>
      </c>
      <c r="AK571" s="160">
        <v>72796.86</v>
      </c>
      <c r="AM571" s="244" t="s">
        <v>77</v>
      </c>
    </row>
    <row r="572" spans="1:39" s="137" customFormat="1" ht="15.75" customHeight="1" x14ac:dyDescent="0.25">
      <c r="A572" s="239">
        <v>43101</v>
      </c>
      <c r="B572" s="137" t="s">
        <v>819</v>
      </c>
      <c r="F572" s="137" t="s">
        <v>820</v>
      </c>
      <c r="G572" s="339"/>
      <c r="H572" s="293"/>
      <c r="I572" s="339"/>
      <c r="J572" s="342"/>
      <c r="K572" s="342"/>
      <c r="L572" s="344"/>
      <c r="M572" s="247"/>
      <c r="N572" s="344"/>
      <c r="Z572" s="137">
        <v>198</v>
      </c>
      <c r="AA572" s="194">
        <v>20272023</v>
      </c>
      <c r="AB572" s="167">
        <v>45065</v>
      </c>
      <c r="AC572" s="160">
        <v>196803.16</v>
      </c>
      <c r="AD572" s="137" t="s">
        <v>821</v>
      </c>
      <c r="AE572" s="137">
        <v>14107413</v>
      </c>
      <c r="AF572" s="139">
        <v>44676</v>
      </c>
      <c r="AG572" s="225"/>
      <c r="AH572" s="142" t="s">
        <v>824</v>
      </c>
      <c r="AI572" s="137">
        <v>20628272</v>
      </c>
      <c r="AJ572" s="226">
        <v>45083</v>
      </c>
      <c r="AK572" s="160">
        <v>125480.66</v>
      </c>
      <c r="AM572" s="244" t="s">
        <v>77</v>
      </c>
    </row>
    <row r="573" spans="1:39" s="145" customFormat="1" ht="15.75" customHeight="1" x14ac:dyDescent="0.25">
      <c r="A573" s="238">
        <v>43101</v>
      </c>
      <c r="B573" s="145" t="s">
        <v>819</v>
      </c>
      <c r="F573" s="145" t="s">
        <v>820</v>
      </c>
      <c r="G573" s="340"/>
      <c r="H573" s="341"/>
      <c r="I573" s="340"/>
      <c r="J573" s="343"/>
      <c r="K573" s="343"/>
      <c r="L573" s="345"/>
      <c r="M573" s="248"/>
      <c r="N573" s="345"/>
      <c r="Z573" s="145">
        <v>198</v>
      </c>
      <c r="AA573" s="214">
        <v>20272023</v>
      </c>
      <c r="AB573" s="151">
        <v>45065</v>
      </c>
      <c r="AC573" s="161"/>
      <c r="AD573" s="145" t="s">
        <v>826</v>
      </c>
      <c r="AE573" s="145">
        <v>21438593</v>
      </c>
      <c r="AF573" s="147">
        <v>45134</v>
      </c>
      <c r="AG573" s="235">
        <v>39508.06</v>
      </c>
      <c r="AH573" s="145" t="s">
        <v>825</v>
      </c>
      <c r="AI573" s="145">
        <v>21952111</v>
      </c>
      <c r="AJ573" s="216">
        <v>45140</v>
      </c>
      <c r="AK573" s="249">
        <v>39508.06</v>
      </c>
      <c r="AM573" s="145" t="s">
        <v>77</v>
      </c>
    </row>
    <row r="574" spans="1:39" ht="15.75" customHeight="1" x14ac:dyDescent="0.25">
      <c r="A574" s="362">
        <v>43831</v>
      </c>
      <c r="B574" s="338" t="s">
        <v>840</v>
      </c>
      <c r="C574" s="201"/>
      <c r="D574" s="201"/>
      <c r="E574" s="201"/>
      <c r="F574" s="201" t="s">
        <v>841</v>
      </c>
      <c r="G574" s="201">
        <v>79</v>
      </c>
      <c r="H574" s="257">
        <v>44197</v>
      </c>
      <c r="I574" s="201">
        <v>11309311</v>
      </c>
      <c r="J574" s="258">
        <v>44707.91</v>
      </c>
      <c r="K574" s="258">
        <v>44707.91</v>
      </c>
      <c r="L574" s="209">
        <v>44476</v>
      </c>
      <c r="M574" s="201">
        <v>30</v>
      </c>
      <c r="N574" s="209">
        <f>M574+L574</f>
        <v>44506</v>
      </c>
      <c r="O574" s="201"/>
      <c r="P574" s="201"/>
      <c r="Q574" s="201"/>
      <c r="R574" s="201"/>
      <c r="S574" s="201"/>
      <c r="T574" s="201"/>
      <c r="U574" s="201"/>
      <c r="V574" s="201"/>
      <c r="W574" s="201"/>
      <c r="X574" s="201"/>
      <c r="Y574" s="201"/>
      <c r="Z574" s="137">
        <v>5406</v>
      </c>
      <c r="AA574" s="194">
        <v>12137568</v>
      </c>
      <c r="AB574" s="167">
        <v>44483</v>
      </c>
      <c r="AC574" s="160">
        <v>281.97000000000003</v>
      </c>
      <c r="AD574" s="201" t="s">
        <v>828</v>
      </c>
      <c r="AE574" s="201">
        <v>10973987</v>
      </c>
      <c r="AF574" s="209">
        <v>44438</v>
      </c>
      <c r="AG574" s="221">
        <v>281.97000000000003</v>
      </c>
      <c r="AH574" s="201" t="s">
        <v>827</v>
      </c>
      <c r="AI574" s="201">
        <v>13221905</v>
      </c>
      <c r="AJ574" s="209">
        <v>44588</v>
      </c>
      <c r="AK574" s="259">
        <v>138540.54</v>
      </c>
      <c r="AL574" s="201"/>
      <c r="AM574" s="246" t="s">
        <v>203</v>
      </c>
    </row>
    <row r="575" spans="1:39" ht="15.75" customHeight="1" x14ac:dyDescent="0.25">
      <c r="A575" s="363"/>
      <c r="B575" s="339"/>
      <c r="C575" s="137"/>
      <c r="D575" s="137"/>
      <c r="E575" s="137"/>
      <c r="F575" s="137" t="s">
        <v>841</v>
      </c>
      <c r="G575" s="137">
        <v>80</v>
      </c>
      <c r="H575" s="260">
        <v>44197</v>
      </c>
      <c r="I575" s="137">
        <v>11309573</v>
      </c>
      <c r="J575" s="261">
        <v>281.97000000000003</v>
      </c>
      <c r="K575" s="261">
        <v>281.97000000000003</v>
      </c>
      <c r="L575" s="139">
        <v>44476</v>
      </c>
      <c r="M575" s="137">
        <v>30</v>
      </c>
      <c r="N575" s="139">
        <f>M575+L575</f>
        <v>44506</v>
      </c>
      <c r="O575" s="137"/>
      <c r="P575" s="137"/>
      <c r="Q575" s="137"/>
      <c r="R575" s="137"/>
      <c r="S575" s="137"/>
      <c r="T575" s="137"/>
      <c r="U575" s="137"/>
      <c r="V575" s="137"/>
      <c r="W575" s="137"/>
      <c r="X575" s="137"/>
      <c r="Y575" s="137"/>
      <c r="Z575" s="137">
        <v>1221</v>
      </c>
      <c r="AA575" s="194">
        <v>12137620</v>
      </c>
      <c r="AB575" s="167">
        <v>44496</v>
      </c>
      <c r="AC575" s="160">
        <v>365</v>
      </c>
      <c r="AD575" s="137" t="s">
        <v>829</v>
      </c>
      <c r="AE575" s="137">
        <v>10974108</v>
      </c>
      <c r="AF575" s="139">
        <v>44438</v>
      </c>
      <c r="AG575" s="225">
        <v>365</v>
      </c>
      <c r="AH575" s="142"/>
      <c r="AI575" s="137"/>
      <c r="AJ575" s="226"/>
      <c r="AK575" s="160"/>
      <c r="AL575" s="137"/>
      <c r="AM575" s="244"/>
    </row>
    <row r="576" spans="1:39" ht="15.75" customHeight="1" x14ac:dyDescent="0.25">
      <c r="A576" s="363"/>
      <c r="B576" s="339"/>
      <c r="C576" s="137"/>
      <c r="D576" s="137"/>
      <c r="E576" s="137"/>
      <c r="F576" s="137" t="s">
        <v>841</v>
      </c>
      <c r="G576" s="137">
        <v>81</v>
      </c>
      <c r="H576" s="260">
        <v>44197</v>
      </c>
      <c r="I576" s="137">
        <v>11309837</v>
      </c>
      <c r="J576" s="261">
        <v>365</v>
      </c>
      <c r="K576" s="261">
        <v>365</v>
      </c>
      <c r="L576" s="139">
        <v>44476</v>
      </c>
      <c r="M576" s="137">
        <v>30</v>
      </c>
      <c r="N576" s="139">
        <f t="shared" ref="N576:N584" si="3">M576+L576</f>
        <v>44506</v>
      </c>
      <c r="O576" s="137"/>
      <c r="P576" s="137"/>
      <c r="Q576" s="137"/>
      <c r="R576" s="137"/>
      <c r="S576" s="137"/>
      <c r="T576" s="137"/>
      <c r="U576" s="137"/>
      <c r="V576" s="137"/>
      <c r="W576" s="137"/>
      <c r="X576" s="137"/>
      <c r="Y576" s="137"/>
      <c r="Z576" s="137"/>
      <c r="AA576" s="194"/>
      <c r="AB576" s="167"/>
      <c r="AC576" s="160"/>
      <c r="AD576" s="137" t="s">
        <v>830</v>
      </c>
      <c r="AE576" s="137">
        <v>10974224</v>
      </c>
      <c r="AF576" s="139">
        <v>44438</v>
      </c>
      <c r="AG576" s="225">
        <v>1650</v>
      </c>
      <c r="AH576" s="142"/>
      <c r="AI576" s="137"/>
      <c r="AJ576" s="226"/>
      <c r="AK576" s="160"/>
      <c r="AL576" s="137"/>
      <c r="AM576" s="244"/>
    </row>
    <row r="577" spans="1:39" ht="15.75" customHeight="1" x14ac:dyDescent="0.25">
      <c r="A577" s="363"/>
      <c r="B577" s="339"/>
      <c r="C577" s="137"/>
      <c r="D577" s="137"/>
      <c r="E577" s="137"/>
      <c r="F577" s="137" t="s">
        <v>841</v>
      </c>
      <c r="G577" s="137">
        <v>82</v>
      </c>
      <c r="H577" s="260">
        <v>44197</v>
      </c>
      <c r="I577" s="137">
        <v>11310917</v>
      </c>
      <c r="J577" s="261">
        <v>11576.98</v>
      </c>
      <c r="K577" s="261">
        <v>11576.98</v>
      </c>
      <c r="L577" s="139">
        <v>44476</v>
      </c>
      <c r="M577" s="137">
        <v>30</v>
      </c>
      <c r="N577" s="139">
        <f t="shared" si="3"/>
        <v>44506</v>
      </c>
      <c r="O577" s="137"/>
      <c r="P577" s="137"/>
      <c r="Q577" s="137"/>
      <c r="R577" s="137"/>
      <c r="S577" s="137"/>
      <c r="T577" s="137"/>
      <c r="U577" s="137"/>
      <c r="V577" s="137"/>
      <c r="W577" s="137"/>
      <c r="X577" s="137"/>
      <c r="Y577" s="137"/>
      <c r="Z577" s="137">
        <v>468</v>
      </c>
      <c r="AA577">
        <v>12139550</v>
      </c>
      <c r="AB577" s="150">
        <v>44508</v>
      </c>
      <c r="AC577" s="163">
        <v>11576.98</v>
      </c>
      <c r="AD577" s="137" t="s">
        <v>831</v>
      </c>
      <c r="AE577" s="137">
        <v>10974291</v>
      </c>
      <c r="AF577" s="139">
        <v>44438</v>
      </c>
      <c r="AG577" s="225">
        <v>11576.98</v>
      </c>
      <c r="AH577" s="142"/>
      <c r="AI577" s="137"/>
      <c r="AJ577" s="226"/>
      <c r="AK577" s="160"/>
      <c r="AL577" s="137"/>
      <c r="AM577" s="244"/>
    </row>
    <row r="578" spans="1:39" ht="15.75" customHeight="1" x14ac:dyDescent="0.25">
      <c r="A578" s="363"/>
      <c r="B578" s="339"/>
      <c r="C578" s="137"/>
      <c r="D578" s="137"/>
      <c r="E578" s="137"/>
      <c r="F578" s="137" t="s">
        <v>841</v>
      </c>
      <c r="G578" s="137">
        <v>83</v>
      </c>
      <c r="H578" s="260">
        <v>44197</v>
      </c>
      <c r="I578" s="137">
        <v>11311573</v>
      </c>
      <c r="J578" s="261">
        <v>68816</v>
      </c>
      <c r="K578" s="261">
        <v>68816</v>
      </c>
      <c r="L578" s="139">
        <v>44476</v>
      </c>
      <c r="M578" s="137">
        <v>30</v>
      </c>
      <c r="N578" s="139">
        <f t="shared" si="3"/>
        <v>44506</v>
      </c>
      <c r="O578" s="137"/>
      <c r="P578" s="137"/>
      <c r="Q578" s="137"/>
      <c r="R578" s="137"/>
      <c r="S578" s="137"/>
      <c r="T578" s="137"/>
      <c r="U578" s="137"/>
      <c r="V578" s="137"/>
      <c r="W578" s="137"/>
      <c r="X578" s="137"/>
      <c r="Y578" s="137"/>
      <c r="AD578" s="137" t="s">
        <v>832</v>
      </c>
      <c r="AE578" s="137">
        <v>10974346</v>
      </c>
      <c r="AF578" s="139">
        <v>44438</v>
      </c>
      <c r="AG578" s="225">
        <v>1163</v>
      </c>
      <c r="AH578" s="142"/>
      <c r="AI578" s="137"/>
      <c r="AJ578" s="226"/>
      <c r="AK578" s="160"/>
      <c r="AL578" s="137"/>
      <c r="AM578" s="244"/>
    </row>
    <row r="579" spans="1:39" ht="15.75" customHeight="1" x14ac:dyDescent="0.25">
      <c r="A579" s="363"/>
      <c r="B579" s="339"/>
      <c r="C579" s="137"/>
      <c r="D579" s="137"/>
      <c r="E579" s="137"/>
      <c r="F579" s="137" t="s">
        <v>841</v>
      </c>
      <c r="G579" s="137">
        <v>84</v>
      </c>
      <c r="H579" s="260">
        <v>44197</v>
      </c>
      <c r="I579" s="137">
        <v>11311683</v>
      </c>
      <c r="J579" s="261">
        <v>1976.76</v>
      </c>
      <c r="K579" s="261">
        <v>1976.76</v>
      </c>
      <c r="L579" s="139">
        <v>44476</v>
      </c>
      <c r="M579" s="137">
        <v>30</v>
      </c>
      <c r="N579" s="139">
        <f t="shared" si="3"/>
        <v>44506</v>
      </c>
      <c r="O579" s="137"/>
      <c r="P579" s="137"/>
      <c r="Q579" s="137"/>
      <c r="R579" s="137"/>
      <c r="S579" s="137"/>
      <c r="T579" s="137"/>
      <c r="U579" s="137"/>
      <c r="V579" s="137"/>
      <c r="W579" s="137"/>
      <c r="X579" s="137"/>
      <c r="Y579" s="137"/>
      <c r="Z579" s="137">
        <v>7512</v>
      </c>
      <c r="AA579" s="194">
        <v>12137703</v>
      </c>
      <c r="AB579" s="167">
        <v>44487</v>
      </c>
      <c r="AC579" s="160">
        <v>68816</v>
      </c>
      <c r="AD579" s="137" t="s">
        <v>833</v>
      </c>
      <c r="AE579" s="137">
        <v>10974420</v>
      </c>
      <c r="AF579" s="139">
        <v>44438</v>
      </c>
      <c r="AG579" s="225">
        <v>68816</v>
      </c>
      <c r="AH579" s="142"/>
      <c r="AI579" s="137"/>
      <c r="AJ579" s="226"/>
      <c r="AK579" s="160"/>
      <c r="AL579" s="137"/>
      <c r="AM579" s="244"/>
    </row>
    <row r="580" spans="1:39" ht="15.75" customHeight="1" x14ac:dyDescent="0.25">
      <c r="A580" s="363"/>
      <c r="B580" s="339"/>
      <c r="C580" s="137"/>
      <c r="D580" s="137"/>
      <c r="E580" s="137"/>
      <c r="F580" s="137" t="s">
        <v>841</v>
      </c>
      <c r="G580" s="137">
        <v>85</v>
      </c>
      <c r="H580" s="260">
        <v>44197</v>
      </c>
      <c r="I580" s="137">
        <v>11311789</v>
      </c>
      <c r="J580" s="261">
        <v>8000</v>
      </c>
      <c r="K580" s="261">
        <v>8000</v>
      </c>
      <c r="L580" s="139">
        <v>44476</v>
      </c>
      <c r="M580" s="137">
        <v>30</v>
      </c>
      <c r="N580" s="139">
        <f t="shared" si="3"/>
        <v>44506</v>
      </c>
      <c r="O580" s="137"/>
      <c r="P580" s="137"/>
      <c r="Q580" s="137"/>
      <c r="R580" s="137"/>
      <c r="S580" s="137"/>
      <c r="T580" s="137"/>
      <c r="U580" s="137"/>
      <c r="V580" s="137"/>
      <c r="W580" s="137"/>
      <c r="X580" s="137"/>
      <c r="Y580" s="137"/>
      <c r="Z580" s="137">
        <v>1380</v>
      </c>
      <c r="AA580" s="137">
        <v>12137421</v>
      </c>
      <c r="AB580" s="167">
        <v>44467</v>
      </c>
      <c r="AC580" s="160">
        <v>1976.76</v>
      </c>
      <c r="AD580" s="137" t="s">
        <v>834</v>
      </c>
      <c r="AE580" s="137">
        <v>10974469</v>
      </c>
      <c r="AF580" s="139">
        <v>44438</v>
      </c>
      <c r="AG580" s="225">
        <v>1976.76</v>
      </c>
      <c r="AH580" s="142"/>
      <c r="AI580" s="137"/>
      <c r="AJ580" s="226"/>
      <c r="AK580" s="160"/>
      <c r="AL580" s="137"/>
      <c r="AM580" s="244"/>
    </row>
    <row r="581" spans="1:39" ht="15.75" customHeight="1" x14ac:dyDescent="0.25">
      <c r="A581" s="363"/>
      <c r="B581" s="339"/>
      <c r="C581" s="137"/>
      <c r="D581" s="137"/>
      <c r="E581" s="137"/>
      <c r="F581" s="137" t="s">
        <v>841</v>
      </c>
      <c r="G581" s="137">
        <v>86</v>
      </c>
      <c r="H581" s="260">
        <v>44197</v>
      </c>
      <c r="I581" s="137">
        <v>11311887</v>
      </c>
      <c r="J581" s="261">
        <v>1291.92</v>
      </c>
      <c r="K581" s="261">
        <v>1291.92</v>
      </c>
      <c r="L581" s="139">
        <v>44476</v>
      </c>
      <c r="M581" s="137">
        <v>30</v>
      </c>
      <c r="N581" s="139">
        <f t="shared" si="3"/>
        <v>44506</v>
      </c>
      <c r="O581" s="137"/>
      <c r="P581" s="137"/>
      <c r="Q581" s="137"/>
      <c r="R581" s="137"/>
      <c r="S581" s="137"/>
      <c r="T581" s="137"/>
      <c r="U581" s="137"/>
      <c r="V581" s="137"/>
      <c r="W581" s="137"/>
      <c r="X581" s="137"/>
      <c r="Y581" s="137"/>
      <c r="Z581" s="137">
        <v>63</v>
      </c>
      <c r="AA581" s="194">
        <v>12137669</v>
      </c>
      <c r="AB581" s="167">
        <v>44495</v>
      </c>
      <c r="AC581" s="160">
        <v>8000</v>
      </c>
      <c r="AD581" s="137" t="s">
        <v>835</v>
      </c>
      <c r="AE581" s="137">
        <v>10974523</v>
      </c>
      <c r="AF581" s="139">
        <v>44438</v>
      </c>
      <c r="AG581" s="225">
        <v>8000</v>
      </c>
      <c r="AH581" s="142"/>
      <c r="AI581" s="137"/>
      <c r="AJ581" s="226"/>
      <c r="AK581" s="160"/>
      <c r="AL581" s="137"/>
      <c r="AM581" s="244"/>
    </row>
    <row r="582" spans="1:39" ht="15.75" customHeight="1" x14ac:dyDescent="0.25">
      <c r="A582" s="363"/>
      <c r="B582" s="339"/>
      <c r="C582" s="137"/>
      <c r="D582" s="137"/>
      <c r="E582" s="137"/>
      <c r="F582" s="137" t="s">
        <v>841</v>
      </c>
      <c r="G582" s="137">
        <v>87</v>
      </c>
      <c r="H582" s="260">
        <v>44197</v>
      </c>
      <c r="I582" s="137">
        <v>11312080</v>
      </c>
      <c r="J582" s="261">
        <v>4832</v>
      </c>
      <c r="K582" s="261">
        <v>4832</v>
      </c>
      <c r="L582" s="139">
        <v>44476</v>
      </c>
      <c r="M582" s="137">
        <v>30</v>
      </c>
      <c r="N582" s="139">
        <f t="shared" si="3"/>
        <v>44506</v>
      </c>
      <c r="O582" s="137"/>
      <c r="P582" s="137"/>
      <c r="Q582" s="137"/>
      <c r="R582" s="137"/>
      <c r="S582" s="137"/>
      <c r="T582" s="137"/>
      <c r="U582" s="137"/>
      <c r="V582" s="137"/>
      <c r="W582" s="137"/>
      <c r="X582" s="137"/>
      <c r="Y582" s="137"/>
      <c r="Z582" s="137">
        <v>6073</v>
      </c>
      <c r="AA582" s="194">
        <v>12137733</v>
      </c>
      <c r="AB582" s="167">
        <v>44476</v>
      </c>
      <c r="AC582" s="160">
        <v>1291.92</v>
      </c>
      <c r="AD582" s="137" t="s">
        <v>836</v>
      </c>
      <c r="AE582" s="137">
        <v>10974603</v>
      </c>
      <c r="AF582" s="139">
        <v>44438</v>
      </c>
      <c r="AG582" s="225">
        <v>1291.92</v>
      </c>
      <c r="AH582" s="142"/>
      <c r="AI582" s="137"/>
      <c r="AJ582" s="226"/>
      <c r="AK582" s="160"/>
      <c r="AL582" s="137"/>
      <c r="AM582" s="244"/>
    </row>
    <row r="583" spans="1:39" ht="15.75" customHeight="1" x14ac:dyDescent="0.25">
      <c r="A583" s="363"/>
      <c r="B583" s="339"/>
      <c r="C583" s="137"/>
      <c r="D583" s="137"/>
      <c r="E583" s="137"/>
      <c r="F583" s="137" t="s">
        <v>841</v>
      </c>
      <c r="G583" s="137">
        <v>88</v>
      </c>
      <c r="H583" s="260">
        <v>44197</v>
      </c>
      <c r="I583" s="137">
        <v>11312194</v>
      </c>
      <c r="J583" s="261">
        <v>546</v>
      </c>
      <c r="K583" s="261">
        <v>546</v>
      </c>
      <c r="L583" s="139">
        <v>44476</v>
      </c>
      <c r="M583" s="137">
        <v>30</v>
      </c>
      <c r="N583" s="139">
        <f t="shared" si="3"/>
        <v>44506</v>
      </c>
      <c r="O583" s="137"/>
      <c r="P583" s="137"/>
      <c r="Q583" s="137"/>
      <c r="R583" s="137"/>
      <c r="S583" s="137"/>
      <c r="T583" s="137"/>
      <c r="U583" s="137"/>
      <c r="V583" s="137"/>
      <c r="W583" s="137"/>
      <c r="X583" s="137"/>
      <c r="Y583" s="137"/>
      <c r="Z583" s="219">
        <v>1506</v>
      </c>
      <c r="AA583" s="194">
        <v>13357712</v>
      </c>
      <c r="AB583" s="167">
        <v>44586</v>
      </c>
      <c r="AC583" s="160">
        <v>4832</v>
      </c>
      <c r="AD583" s="137" t="s">
        <v>837</v>
      </c>
      <c r="AE583" s="137">
        <v>10974675</v>
      </c>
      <c r="AF583" s="139">
        <v>44438</v>
      </c>
      <c r="AG583" s="225">
        <v>4832</v>
      </c>
      <c r="AH583" s="142"/>
      <c r="AI583" s="137"/>
      <c r="AJ583" s="226"/>
      <c r="AK583" s="160"/>
      <c r="AL583" s="137"/>
      <c r="AM583" s="244"/>
    </row>
    <row r="584" spans="1:39" ht="15.75" customHeight="1" x14ac:dyDescent="0.25">
      <c r="A584" s="363"/>
      <c r="B584" s="339"/>
      <c r="C584" s="137"/>
      <c r="D584" s="137"/>
      <c r="E584" s="137"/>
      <c r="F584" s="137" t="s">
        <v>841</v>
      </c>
      <c r="G584" s="137">
        <v>89</v>
      </c>
      <c r="H584" s="260">
        <v>44197</v>
      </c>
      <c r="I584" s="137">
        <v>11312309</v>
      </c>
      <c r="J584" s="261">
        <v>978</v>
      </c>
      <c r="K584" s="261">
        <v>978</v>
      </c>
      <c r="L584" s="139">
        <v>44476</v>
      </c>
      <c r="M584" s="137">
        <v>30</v>
      </c>
      <c r="N584" s="139">
        <f t="shared" si="3"/>
        <v>44506</v>
      </c>
      <c r="O584" s="137"/>
      <c r="P584" s="137"/>
      <c r="Q584" s="137"/>
      <c r="R584" s="137"/>
      <c r="S584" s="137"/>
      <c r="T584" s="137"/>
      <c r="U584" s="137"/>
      <c r="V584" s="137"/>
      <c r="W584" s="137"/>
      <c r="X584" s="137"/>
      <c r="Y584" s="137"/>
      <c r="Z584" s="137">
        <v>462</v>
      </c>
      <c r="AA584" s="194">
        <v>12137774</v>
      </c>
      <c r="AB584" s="167">
        <v>44484</v>
      </c>
      <c r="AC584" s="160">
        <v>546</v>
      </c>
      <c r="AD584" s="137" t="s">
        <v>838</v>
      </c>
      <c r="AE584" s="137">
        <v>10974745</v>
      </c>
      <c r="AF584" s="139">
        <v>44438</v>
      </c>
      <c r="AG584" s="225">
        <v>546</v>
      </c>
      <c r="AH584" s="142"/>
      <c r="AI584" s="137"/>
      <c r="AJ584" s="226"/>
      <c r="AK584" s="160"/>
      <c r="AL584" s="137"/>
      <c r="AM584" s="244"/>
    </row>
    <row r="585" spans="1:39" ht="15.75" customHeight="1" x14ac:dyDescent="0.25">
      <c r="A585" s="363"/>
      <c r="B585" s="339"/>
      <c r="C585" s="137"/>
      <c r="D585" s="137"/>
      <c r="E585" s="137"/>
      <c r="F585" s="137"/>
      <c r="G585" s="137"/>
      <c r="H585" s="141"/>
      <c r="I585" s="137"/>
      <c r="J585" s="137"/>
      <c r="K585" s="137"/>
      <c r="L585" s="137"/>
      <c r="M585" s="137"/>
      <c r="N585" s="137"/>
      <c r="O585" s="137"/>
      <c r="P585" s="137"/>
      <c r="Q585" s="137"/>
      <c r="R585" s="137"/>
      <c r="S585" s="137"/>
      <c r="T585" s="137"/>
      <c r="U585" s="137"/>
      <c r="V585" s="137"/>
      <c r="W585" s="137"/>
      <c r="X585" s="137"/>
      <c r="Y585" s="137"/>
      <c r="Z585" s="137">
        <v>10</v>
      </c>
      <c r="AA585" s="194">
        <v>12370294</v>
      </c>
      <c r="AB585" s="167">
        <v>44476</v>
      </c>
      <c r="AC585" s="160">
        <v>978</v>
      </c>
      <c r="AD585" s="137" t="s">
        <v>645</v>
      </c>
      <c r="AE585" s="137">
        <v>10974820</v>
      </c>
      <c r="AF585" s="139">
        <v>44438</v>
      </c>
      <c r="AG585" s="225">
        <v>978</v>
      </c>
      <c r="AH585" s="142"/>
      <c r="AI585" s="137"/>
      <c r="AJ585" s="226"/>
      <c r="AK585" s="160"/>
      <c r="AL585" s="137"/>
      <c r="AM585" s="244"/>
    </row>
    <row r="586" spans="1:39" ht="15.75" customHeight="1" x14ac:dyDescent="0.25">
      <c r="A586" s="364"/>
      <c r="B586" s="340"/>
      <c r="C586" s="145"/>
      <c r="D586" s="145"/>
      <c r="E586" s="145"/>
      <c r="F586" s="145"/>
      <c r="G586" s="145"/>
      <c r="H586" s="262"/>
      <c r="I586" s="145"/>
      <c r="J586" s="145"/>
      <c r="K586" s="145"/>
      <c r="L586" s="145"/>
      <c r="M586" s="145"/>
      <c r="N586" s="145"/>
      <c r="O586" s="145"/>
      <c r="P586" s="145"/>
      <c r="Q586" s="145"/>
      <c r="R586" s="145"/>
      <c r="S586" s="145"/>
      <c r="T586" s="145"/>
      <c r="U586" s="145"/>
      <c r="V586" s="145"/>
      <c r="W586" s="145"/>
      <c r="X586" s="145"/>
      <c r="Y586" s="145"/>
      <c r="Z586" s="145">
        <v>1049</v>
      </c>
      <c r="AA586" s="214">
        <v>12137494</v>
      </c>
      <c r="AB586" s="151">
        <v>44498</v>
      </c>
      <c r="AC586" s="161">
        <v>44707.91</v>
      </c>
      <c r="AD586" s="145" t="s">
        <v>839</v>
      </c>
      <c r="AE586" s="145">
        <v>10974909</v>
      </c>
      <c r="AF586" s="147">
        <v>44438</v>
      </c>
      <c r="AG586" s="235">
        <v>44707.91</v>
      </c>
      <c r="AH586" s="168"/>
      <c r="AI586" s="145"/>
      <c r="AJ586" s="216"/>
      <c r="AK586" s="161"/>
      <c r="AL586" s="145"/>
      <c r="AM586" s="236"/>
    </row>
    <row r="587" spans="1:39" ht="15.75" customHeight="1" x14ac:dyDescent="0.3">
      <c r="A587" s="362">
        <v>44197</v>
      </c>
      <c r="B587" s="365" t="s">
        <v>845</v>
      </c>
      <c r="C587" s="201"/>
      <c r="D587" s="201"/>
      <c r="E587" s="201"/>
      <c r="F587" s="220" t="s">
        <v>846</v>
      </c>
      <c r="G587" s="202" t="s">
        <v>847</v>
      </c>
      <c r="H587" s="265">
        <v>45658</v>
      </c>
      <c r="I587" s="201">
        <v>36759299</v>
      </c>
      <c r="J587" s="266">
        <v>68060</v>
      </c>
      <c r="K587" s="266">
        <v>68060</v>
      </c>
      <c r="L587" s="209">
        <v>45940</v>
      </c>
      <c r="M587" s="201">
        <v>30</v>
      </c>
      <c r="N587" s="209">
        <f>M587+L587</f>
        <v>45970</v>
      </c>
      <c r="O587" s="201"/>
      <c r="P587" s="201"/>
      <c r="Q587" s="201"/>
      <c r="R587" s="201"/>
      <c r="S587" s="201"/>
      <c r="T587" s="201"/>
      <c r="U587" s="201"/>
      <c r="V587" s="201"/>
      <c r="W587" s="201"/>
      <c r="X587" s="201"/>
      <c r="Y587" s="201"/>
      <c r="Z587" s="201">
        <v>6</v>
      </c>
      <c r="AA587" s="206">
        <v>38128254</v>
      </c>
      <c r="AB587" s="204">
        <v>45995</v>
      </c>
      <c r="AC587" s="207">
        <v>7423</v>
      </c>
      <c r="AD587" s="201"/>
      <c r="AE587" s="201"/>
      <c r="AF587" s="201"/>
      <c r="AG587" s="221"/>
      <c r="AH587" s="202" t="s">
        <v>849</v>
      </c>
      <c r="AI587" s="201">
        <v>39745348</v>
      </c>
      <c r="AJ587" s="210">
        <v>46065</v>
      </c>
      <c r="AK587" s="207">
        <v>7423</v>
      </c>
      <c r="AL587" s="201"/>
      <c r="AM587" s="223" t="s">
        <v>742</v>
      </c>
    </row>
    <row r="588" spans="1:39" ht="15.75" customHeight="1" x14ac:dyDescent="0.3">
      <c r="A588" s="363"/>
      <c r="B588" s="366"/>
      <c r="C588" s="137"/>
      <c r="D588" s="137"/>
      <c r="E588" s="137"/>
      <c r="F588" s="224" t="s">
        <v>846</v>
      </c>
      <c r="G588" s="219" t="s">
        <v>848</v>
      </c>
      <c r="H588" s="141">
        <v>45658</v>
      </c>
      <c r="I588" s="137">
        <v>36759663</v>
      </c>
      <c r="J588" s="267">
        <v>46123</v>
      </c>
      <c r="K588" s="267">
        <v>46123</v>
      </c>
      <c r="L588" s="139">
        <v>45940</v>
      </c>
      <c r="M588" s="137">
        <v>30</v>
      </c>
      <c r="N588" s="139">
        <f>M588+L588</f>
        <v>45970</v>
      </c>
      <c r="O588" s="137"/>
      <c r="P588" s="137"/>
      <c r="Q588" s="137"/>
      <c r="R588" s="137"/>
      <c r="S588" s="137"/>
      <c r="T588" s="137"/>
      <c r="U588" s="137"/>
      <c r="V588" s="137"/>
      <c r="W588" s="137"/>
      <c r="X588" s="137"/>
      <c r="Y588" s="137"/>
      <c r="Z588" s="137">
        <v>7</v>
      </c>
      <c r="AA588" s="194">
        <v>38128254</v>
      </c>
      <c r="AB588" s="167">
        <v>45995</v>
      </c>
      <c r="AC588" s="160">
        <v>38700</v>
      </c>
      <c r="AD588" s="137"/>
      <c r="AE588" s="137"/>
      <c r="AF588" s="137"/>
      <c r="AG588" s="225"/>
      <c r="AH588" s="219" t="s">
        <v>850</v>
      </c>
      <c r="AI588" s="137">
        <v>39745348</v>
      </c>
      <c r="AJ588" s="226">
        <v>46069</v>
      </c>
      <c r="AK588" s="160">
        <v>38700</v>
      </c>
      <c r="AL588" s="137"/>
      <c r="AM588" s="227" t="s">
        <v>742</v>
      </c>
    </row>
    <row r="589" spans="1:39" ht="15.75" customHeight="1" x14ac:dyDescent="0.25">
      <c r="A589" s="364"/>
      <c r="B589" s="367"/>
      <c r="C589" s="145"/>
      <c r="D589" s="145"/>
      <c r="E589" s="145"/>
      <c r="F589" s="145"/>
      <c r="G589" s="145"/>
      <c r="H589" s="262"/>
      <c r="I589" s="145"/>
      <c r="J589" s="145"/>
      <c r="K589" s="145"/>
      <c r="L589" s="145"/>
      <c r="M589" s="145"/>
      <c r="N589" s="145"/>
      <c r="O589" s="145"/>
      <c r="P589" s="145"/>
      <c r="Q589" s="145"/>
      <c r="R589" s="145"/>
      <c r="S589" s="145"/>
      <c r="T589" s="145"/>
      <c r="U589" s="145"/>
      <c r="V589" s="145"/>
      <c r="W589" s="145"/>
      <c r="X589" s="145"/>
      <c r="Y589" s="145"/>
      <c r="Z589" s="145">
        <v>106</v>
      </c>
      <c r="AA589" s="214">
        <v>39748209</v>
      </c>
      <c r="AB589" s="151">
        <v>45996</v>
      </c>
      <c r="AC589" s="161">
        <v>68060</v>
      </c>
      <c r="AD589" s="145"/>
      <c r="AE589" s="145"/>
      <c r="AF589" s="145"/>
      <c r="AG589" s="235"/>
      <c r="AH589" s="168"/>
      <c r="AI589" s="145"/>
      <c r="AJ589" s="216"/>
      <c r="AK589" s="161"/>
      <c r="AL589" s="145"/>
      <c r="AM589" s="236"/>
    </row>
    <row r="590" spans="1:39" ht="15.75" customHeight="1" x14ac:dyDescent="0.25">
      <c r="A590" s="362">
        <v>44927</v>
      </c>
      <c r="B590" s="201" t="s">
        <v>873</v>
      </c>
      <c r="C590" s="201"/>
      <c r="D590" s="201"/>
      <c r="E590" s="201"/>
      <c r="F590" s="201"/>
      <c r="G590" s="201" t="s">
        <v>874</v>
      </c>
      <c r="H590" s="131">
        <v>45658</v>
      </c>
      <c r="I590" s="201">
        <v>36198467</v>
      </c>
      <c r="J590" s="259">
        <v>2016000</v>
      </c>
      <c r="K590" s="259">
        <v>2016000</v>
      </c>
      <c r="L590" s="265">
        <v>45905</v>
      </c>
      <c r="M590" s="201">
        <v>365</v>
      </c>
      <c r="N590" s="209">
        <f>L590+M590</f>
        <v>46270</v>
      </c>
      <c r="O590" s="201"/>
      <c r="P590" s="201"/>
      <c r="Q590" s="201"/>
      <c r="R590" s="201"/>
      <c r="S590" s="201"/>
      <c r="T590" s="201"/>
      <c r="U590" s="201"/>
      <c r="V590" s="201"/>
      <c r="W590" s="201"/>
      <c r="X590" s="201"/>
      <c r="Y590" s="201"/>
      <c r="Z590" s="201">
        <v>6536</v>
      </c>
      <c r="AA590" s="206">
        <v>31164811</v>
      </c>
      <c r="AB590" s="204">
        <v>45652</v>
      </c>
      <c r="AC590" s="207">
        <v>168000</v>
      </c>
      <c r="AD590" s="201"/>
      <c r="AE590" s="201"/>
      <c r="AF590" s="201"/>
      <c r="AG590" s="221"/>
      <c r="AH590" s="203" t="s">
        <v>852</v>
      </c>
      <c r="AI590" s="201">
        <v>32353495</v>
      </c>
      <c r="AJ590" s="210">
        <v>45692</v>
      </c>
      <c r="AK590" s="207">
        <v>159936</v>
      </c>
      <c r="AL590" s="201"/>
      <c r="AM590" s="246" t="s">
        <v>871</v>
      </c>
    </row>
    <row r="591" spans="1:39" ht="15.75" customHeight="1" x14ac:dyDescent="0.25">
      <c r="A591" s="363"/>
      <c r="B591" s="201" t="s">
        <v>873</v>
      </c>
      <c r="C591" s="137"/>
      <c r="D591" s="137"/>
      <c r="E591" s="137"/>
      <c r="F591" s="137"/>
      <c r="G591" s="201" t="s">
        <v>874</v>
      </c>
      <c r="H591" s="131">
        <v>45658</v>
      </c>
      <c r="I591" s="201">
        <v>36198467</v>
      </c>
      <c r="J591" s="259">
        <v>2016000</v>
      </c>
      <c r="K591" s="259">
        <v>2016000</v>
      </c>
      <c r="L591" s="265">
        <v>45905</v>
      </c>
      <c r="M591" s="201">
        <v>365</v>
      </c>
      <c r="N591" s="209">
        <f>L591+M591</f>
        <v>46270</v>
      </c>
      <c r="O591" s="137"/>
      <c r="P591" s="137"/>
      <c r="Q591" s="137"/>
      <c r="R591" s="137"/>
      <c r="S591" s="137"/>
      <c r="T591" s="137"/>
      <c r="U591" s="137"/>
      <c r="V591" s="137"/>
      <c r="W591" s="137"/>
      <c r="X591" s="137"/>
      <c r="Y591" s="137"/>
      <c r="Z591" s="137">
        <v>6966</v>
      </c>
      <c r="AA591" s="194">
        <v>32009380</v>
      </c>
      <c r="AB591" s="167">
        <v>45701</v>
      </c>
      <c r="AC591" s="160">
        <v>168000</v>
      </c>
      <c r="AD591" s="137"/>
      <c r="AE591" s="137"/>
      <c r="AF591" s="137"/>
      <c r="AG591" s="225"/>
      <c r="AH591" s="142" t="s">
        <v>853</v>
      </c>
      <c r="AI591" s="137">
        <v>33309960</v>
      </c>
      <c r="AJ591" s="226">
        <v>45764</v>
      </c>
      <c r="AK591" s="160">
        <v>165984</v>
      </c>
      <c r="AL591" s="137"/>
      <c r="AM591" s="244" t="s">
        <v>871</v>
      </c>
    </row>
    <row r="592" spans="1:39" ht="15.75" customHeight="1" x14ac:dyDescent="0.25">
      <c r="A592" s="363"/>
      <c r="B592" s="201" t="s">
        <v>873</v>
      </c>
      <c r="C592" s="137"/>
      <c r="D592" s="137"/>
      <c r="E592" s="137"/>
      <c r="F592" s="137"/>
      <c r="G592" s="201" t="s">
        <v>874</v>
      </c>
      <c r="H592" s="131">
        <v>45658</v>
      </c>
      <c r="I592" s="201">
        <v>36198467</v>
      </c>
      <c r="J592" s="259">
        <v>2016000</v>
      </c>
      <c r="K592" s="259">
        <v>2016000</v>
      </c>
      <c r="L592" s="265">
        <v>45905</v>
      </c>
      <c r="M592" s="201">
        <v>365</v>
      </c>
      <c r="N592" s="209">
        <f t="shared" ref="N592:N610" si="4">L592+M592</f>
        <v>46270</v>
      </c>
      <c r="O592" s="137"/>
      <c r="P592" s="137"/>
      <c r="Q592" s="137"/>
      <c r="R592" s="137"/>
      <c r="S592" s="137"/>
      <c r="T592" s="137"/>
      <c r="U592" s="137"/>
      <c r="V592" s="137"/>
      <c r="W592" s="137"/>
      <c r="X592" s="137"/>
      <c r="Y592" s="137"/>
      <c r="Z592" s="137">
        <v>7215</v>
      </c>
      <c r="AA592" s="268">
        <v>32553362</v>
      </c>
      <c r="AB592" s="167">
        <v>45732</v>
      </c>
      <c r="AC592" s="160">
        <v>168000</v>
      </c>
      <c r="AD592" s="137"/>
      <c r="AE592" s="137"/>
      <c r="AF592" s="137"/>
      <c r="AG592" s="225"/>
      <c r="AH592" s="142" t="s">
        <v>854</v>
      </c>
      <c r="AI592" s="137">
        <v>33373889</v>
      </c>
      <c r="AJ592" s="226">
        <v>45763</v>
      </c>
      <c r="AK592" s="160">
        <v>165984</v>
      </c>
      <c r="AL592" s="137"/>
      <c r="AM592" s="244" t="s">
        <v>872</v>
      </c>
    </row>
    <row r="593" spans="1:39" ht="15.75" customHeight="1" x14ac:dyDescent="0.25">
      <c r="A593" s="363"/>
      <c r="B593" s="201" t="s">
        <v>873</v>
      </c>
      <c r="C593" s="137"/>
      <c r="D593" s="137"/>
      <c r="E593" s="137"/>
      <c r="F593" s="137"/>
      <c r="G593" s="201" t="s">
        <v>874</v>
      </c>
      <c r="H593" s="131">
        <v>45658</v>
      </c>
      <c r="I593" s="201">
        <v>36198467</v>
      </c>
      <c r="J593" s="259">
        <v>2016000</v>
      </c>
      <c r="K593" s="259">
        <v>2016000</v>
      </c>
      <c r="L593" s="265">
        <v>45905</v>
      </c>
      <c r="M593" s="201">
        <v>365</v>
      </c>
      <c r="N593" s="209">
        <f t="shared" si="4"/>
        <v>46270</v>
      </c>
      <c r="O593" s="137"/>
      <c r="P593" s="137"/>
      <c r="Q593" s="137"/>
      <c r="R593" s="137"/>
      <c r="S593" s="137"/>
      <c r="T593" s="137"/>
      <c r="U593" s="137"/>
      <c r="V593" s="137"/>
      <c r="W593" s="137"/>
      <c r="X593" s="137"/>
      <c r="Y593" s="137"/>
      <c r="Z593" s="137">
        <v>7452</v>
      </c>
      <c r="AA593" s="194">
        <v>33884460</v>
      </c>
      <c r="AB593" s="167">
        <v>45751</v>
      </c>
      <c r="AC593" s="160">
        <v>168000</v>
      </c>
      <c r="AD593" s="137"/>
      <c r="AE593" s="137"/>
      <c r="AF593" s="137"/>
      <c r="AG593" s="225"/>
      <c r="AH593" s="142" t="s">
        <v>855</v>
      </c>
      <c r="AI593" s="137">
        <v>34466382</v>
      </c>
      <c r="AJ593" s="226">
        <v>45813</v>
      </c>
      <c r="AK593" s="160">
        <v>165984</v>
      </c>
      <c r="AL593" s="137"/>
      <c r="AM593" s="244" t="s">
        <v>872</v>
      </c>
    </row>
    <row r="594" spans="1:39" ht="15.75" customHeight="1" x14ac:dyDescent="0.25">
      <c r="A594" s="363"/>
      <c r="B594" s="201" t="s">
        <v>873</v>
      </c>
      <c r="C594" s="137"/>
      <c r="D594" s="137"/>
      <c r="E594" s="137"/>
      <c r="F594" s="137"/>
      <c r="G594" s="201" t="s">
        <v>874</v>
      </c>
      <c r="H594" s="131">
        <v>45658</v>
      </c>
      <c r="I594" s="201">
        <v>36198467</v>
      </c>
      <c r="J594" s="259">
        <v>2016000</v>
      </c>
      <c r="K594" s="259">
        <v>2016000</v>
      </c>
      <c r="L594" s="265">
        <v>45905</v>
      </c>
      <c r="M594" s="201">
        <v>365</v>
      </c>
      <c r="N594" s="209">
        <f t="shared" si="4"/>
        <v>46270</v>
      </c>
      <c r="O594" s="137"/>
      <c r="P594" s="137"/>
      <c r="Q594" s="137"/>
      <c r="R594" s="137"/>
      <c r="S594" s="137"/>
      <c r="T594" s="137"/>
      <c r="U594" s="137"/>
      <c r="V594" s="137"/>
      <c r="W594" s="137"/>
      <c r="X594" s="137"/>
      <c r="Y594" s="137"/>
      <c r="Z594" s="137">
        <v>8016</v>
      </c>
      <c r="AA594" s="194">
        <v>34253891</v>
      </c>
      <c r="AB594" s="167">
        <v>45813</v>
      </c>
      <c r="AC594" s="160">
        <v>168000</v>
      </c>
      <c r="AD594" s="137"/>
      <c r="AE594" s="137"/>
      <c r="AF594" s="137"/>
      <c r="AG594" s="225"/>
      <c r="AH594" s="142" t="s">
        <v>856</v>
      </c>
      <c r="AI594" s="137">
        <v>34466385</v>
      </c>
      <c r="AJ594" s="226">
        <v>45813</v>
      </c>
      <c r="AK594" s="160">
        <v>165984</v>
      </c>
      <c r="AL594" s="137"/>
      <c r="AM594" s="244" t="s">
        <v>872</v>
      </c>
    </row>
    <row r="595" spans="1:39" ht="15.75" customHeight="1" x14ac:dyDescent="0.25">
      <c r="A595" s="363"/>
      <c r="B595" s="201" t="s">
        <v>873</v>
      </c>
      <c r="C595" s="137"/>
      <c r="D595" s="137"/>
      <c r="E595" s="137"/>
      <c r="F595" s="137"/>
      <c r="G595" s="201" t="s">
        <v>874</v>
      </c>
      <c r="H595" s="131">
        <v>45658</v>
      </c>
      <c r="I595" s="201">
        <v>36198467</v>
      </c>
      <c r="J595" s="259">
        <v>2016000</v>
      </c>
      <c r="K595" s="259">
        <v>2016000</v>
      </c>
      <c r="L595" s="265">
        <v>45905</v>
      </c>
      <c r="M595" s="201">
        <v>365</v>
      </c>
      <c r="N595" s="209">
        <f t="shared" si="4"/>
        <v>46270</v>
      </c>
      <c r="O595" s="137"/>
      <c r="P595" s="137"/>
      <c r="Q595" s="137"/>
      <c r="R595" s="137"/>
      <c r="S595" s="137"/>
      <c r="T595" s="137"/>
      <c r="U595" s="137"/>
      <c r="V595" s="137"/>
      <c r="W595" s="137"/>
      <c r="X595" s="137"/>
      <c r="Y595" s="137"/>
      <c r="Z595" s="137">
        <v>8251</v>
      </c>
      <c r="AA595" s="194">
        <v>34818685</v>
      </c>
      <c r="AB595" s="167">
        <v>45841</v>
      </c>
      <c r="AC595" s="160">
        <v>168000</v>
      </c>
      <c r="AD595" s="137"/>
      <c r="AE595" s="137"/>
      <c r="AF595" s="137"/>
      <c r="AG595" s="225"/>
      <c r="AH595" s="142" t="s">
        <v>857</v>
      </c>
      <c r="AI595" s="137">
        <v>35096967</v>
      </c>
      <c r="AJ595" s="226">
        <v>45852</v>
      </c>
      <c r="AK595" s="160">
        <v>165984</v>
      </c>
      <c r="AL595" s="137"/>
      <c r="AM595" s="244" t="s">
        <v>872</v>
      </c>
    </row>
    <row r="596" spans="1:39" ht="15.75" customHeight="1" x14ac:dyDescent="0.25">
      <c r="A596" s="363"/>
      <c r="B596" s="201" t="s">
        <v>873</v>
      </c>
      <c r="C596" s="137"/>
      <c r="D596" s="137"/>
      <c r="E596" s="137"/>
      <c r="F596" s="137"/>
      <c r="G596" s="201" t="s">
        <v>874</v>
      </c>
      <c r="H596" s="131">
        <v>45658</v>
      </c>
      <c r="I596" s="201">
        <v>36198467</v>
      </c>
      <c r="J596" s="259">
        <v>2016000</v>
      </c>
      <c r="K596" s="259">
        <v>2016000</v>
      </c>
      <c r="L596" s="265">
        <v>45905</v>
      </c>
      <c r="M596" s="201">
        <v>365</v>
      </c>
      <c r="N596" s="209">
        <f t="shared" si="4"/>
        <v>46270</v>
      </c>
      <c r="O596" s="137"/>
      <c r="P596" s="137"/>
      <c r="Q596" s="137"/>
      <c r="R596" s="137"/>
      <c r="S596" s="137"/>
      <c r="T596" s="137"/>
      <c r="U596" s="137"/>
      <c r="V596" s="137"/>
      <c r="W596" s="137"/>
      <c r="X596" s="137"/>
      <c r="Y596" s="137"/>
      <c r="Z596" s="137">
        <v>8016</v>
      </c>
      <c r="AA596" s="194">
        <v>34913281</v>
      </c>
      <c r="AB596" s="167">
        <v>45813</v>
      </c>
      <c r="AC596" s="160">
        <v>168000</v>
      </c>
      <c r="AD596" s="137"/>
      <c r="AE596" s="137"/>
      <c r="AF596" s="137"/>
      <c r="AG596" s="225"/>
      <c r="AH596" s="142" t="s">
        <v>858</v>
      </c>
      <c r="AI596" s="137">
        <v>35615253</v>
      </c>
      <c r="AJ596" s="226">
        <v>45873</v>
      </c>
      <c r="AK596" s="160">
        <v>165984</v>
      </c>
      <c r="AL596" s="137"/>
      <c r="AM596" s="244" t="s">
        <v>872</v>
      </c>
    </row>
    <row r="597" spans="1:39" ht="15.75" customHeight="1" x14ac:dyDescent="0.25">
      <c r="A597" s="363"/>
      <c r="B597" s="201" t="s">
        <v>873</v>
      </c>
      <c r="C597" s="137"/>
      <c r="D597" s="137"/>
      <c r="E597" s="137"/>
      <c r="F597" s="137"/>
      <c r="G597" s="201" t="s">
        <v>874</v>
      </c>
      <c r="H597" s="131">
        <v>45658</v>
      </c>
      <c r="I597" s="201">
        <v>36198467</v>
      </c>
      <c r="J597" s="259">
        <v>2016000</v>
      </c>
      <c r="K597" s="259">
        <v>2016000</v>
      </c>
      <c r="L597" s="265">
        <v>45905</v>
      </c>
      <c r="M597" s="201">
        <v>365</v>
      </c>
      <c r="N597" s="209">
        <f t="shared" si="4"/>
        <v>46270</v>
      </c>
      <c r="O597" s="137"/>
      <c r="P597" s="137"/>
      <c r="Q597" s="137"/>
      <c r="R597" s="137"/>
      <c r="S597" s="137"/>
      <c r="T597" s="137"/>
      <c r="U597" s="137"/>
      <c r="V597" s="137"/>
      <c r="W597" s="137"/>
      <c r="X597" s="137"/>
      <c r="Y597" s="137"/>
      <c r="Z597" s="137">
        <v>8511</v>
      </c>
      <c r="AA597">
        <v>35589923</v>
      </c>
      <c r="AB597" s="171">
        <v>45874</v>
      </c>
      <c r="AC597" s="160">
        <v>168000</v>
      </c>
      <c r="AD597" s="137"/>
      <c r="AE597" s="137"/>
      <c r="AF597" s="137"/>
      <c r="AG597" s="225"/>
      <c r="AH597" s="142" t="s">
        <v>859</v>
      </c>
      <c r="AI597" s="137">
        <v>36248921</v>
      </c>
      <c r="AJ597" s="226">
        <v>45896</v>
      </c>
      <c r="AK597" s="160">
        <v>165984</v>
      </c>
      <c r="AL597" s="137"/>
      <c r="AM597" s="244" t="s">
        <v>872</v>
      </c>
    </row>
    <row r="598" spans="1:39" ht="15.75" customHeight="1" x14ac:dyDescent="0.25">
      <c r="A598" s="363"/>
      <c r="B598" s="201" t="s">
        <v>873</v>
      </c>
      <c r="C598" s="137"/>
      <c r="D598" s="137"/>
      <c r="E598" s="137"/>
      <c r="F598" s="137"/>
      <c r="G598" s="201" t="s">
        <v>874</v>
      </c>
      <c r="H598" s="131">
        <v>45658</v>
      </c>
      <c r="I598" s="201">
        <v>36198467</v>
      </c>
      <c r="J598" s="259">
        <v>2016000</v>
      </c>
      <c r="K598" s="259">
        <v>2016000</v>
      </c>
      <c r="L598" s="265">
        <v>45905</v>
      </c>
      <c r="M598" s="201">
        <v>365</v>
      </c>
      <c r="N598" s="209">
        <f t="shared" si="4"/>
        <v>46270</v>
      </c>
      <c r="O598" s="137"/>
      <c r="P598" s="137"/>
      <c r="Q598" s="137"/>
      <c r="R598" s="137"/>
      <c r="S598" s="137"/>
      <c r="T598" s="137"/>
      <c r="U598" s="137"/>
      <c r="V598" s="137"/>
      <c r="W598" s="137"/>
      <c r="X598" s="137"/>
      <c r="Y598" s="137"/>
      <c r="Z598" s="137">
        <v>8820</v>
      </c>
      <c r="AA598" s="194">
        <v>36230752</v>
      </c>
      <c r="AB598" s="167">
        <v>45905</v>
      </c>
      <c r="AC598" s="160">
        <v>168000</v>
      </c>
      <c r="AD598" s="137"/>
      <c r="AE598" s="137"/>
      <c r="AF598" s="137"/>
      <c r="AG598" s="225"/>
      <c r="AH598" s="142" t="s">
        <v>860</v>
      </c>
      <c r="AI598" s="137">
        <v>36737431</v>
      </c>
      <c r="AJ598" s="226">
        <v>45915</v>
      </c>
      <c r="AK598" s="160">
        <v>165984</v>
      </c>
      <c r="AL598" s="137"/>
      <c r="AM598" s="244" t="s">
        <v>872</v>
      </c>
    </row>
    <row r="599" spans="1:39" ht="15.75" customHeight="1" x14ac:dyDescent="0.25">
      <c r="A599" s="363"/>
      <c r="B599" s="201" t="s">
        <v>873</v>
      </c>
      <c r="C599" s="137"/>
      <c r="D599" s="137"/>
      <c r="E599" s="137"/>
      <c r="F599" s="137"/>
      <c r="G599" s="201" t="s">
        <v>874</v>
      </c>
      <c r="H599" s="131">
        <v>45658</v>
      </c>
      <c r="I599" s="201">
        <v>36198467</v>
      </c>
      <c r="J599" s="259">
        <v>2016000</v>
      </c>
      <c r="K599" s="259">
        <v>2016000</v>
      </c>
      <c r="L599" s="265">
        <v>45905</v>
      </c>
      <c r="M599" s="201">
        <v>365</v>
      </c>
      <c r="N599" s="209">
        <f t="shared" si="4"/>
        <v>46270</v>
      </c>
      <c r="O599" s="137"/>
      <c r="P599" s="137"/>
      <c r="Q599" s="137"/>
      <c r="R599" s="137"/>
      <c r="S599" s="137"/>
      <c r="T599" s="137"/>
      <c r="U599" s="137"/>
      <c r="V599" s="137"/>
      <c r="W599" s="137"/>
      <c r="X599" s="137"/>
      <c r="Y599" s="137"/>
      <c r="Z599" s="269">
        <v>66</v>
      </c>
      <c r="AA599" s="194">
        <v>37105044</v>
      </c>
      <c r="AB599" s="167">
        <v>45945</v>
      </c>
      <c r="AC599" s="160">
        <v>168000</v>
      </c>
      <c r="AD599" s="137"/>
      <c r="AE599" s="137"/>
      <c r="AF599" s="137"/>
      <c r="AG599" s="225"/>
      <c r="AH599" s="142" t="s">
        <v>861</v>
      </c>
      <c r="AI599" s="137">
        <v>36742311</v>
      </c>
      <c r="AJ599" s="226">
        <v>45723</v>
      </c>
      <c r="AK599" s="160">
        <v>8064</v>
      </c>
      <c r="AL599" s="137"/>
      <c r="AM599" s="244" t="s">
        <v>872</v>
      </c>
    </row>
    <row r="600" spans="1:39" ht="15.75" customHeight="1" x14ac:dyDescent="0.25">
      <c r="A600" s="363"/>
      <c r="B600" s="201" t="s">
        <v>873</v>
      </c>
      <c r="C600" s="137"/>
      <c r="D600" s="137"/>
      <c r="E600" s="137"/>
      <c r="F600" s="137"/>
      <c r="G600" s="201" t="s">
        <v>874</v>
      </c>
      <c r="H600" s="131">
        <v>45658</v>
      </c>
      <c r="I600" s="201">
        <v>36198467</v>
      </c>
      <c r="J600" s="259">
        <v>2016000</v>
      </c>
      <c r="K600" s="259">
        <v>2016000</v>
      </c>
      <c r="L600" s="265">
        <v>45905</v>
      </c>
      <c r="M600" s="201">
        <v>365</v>
      </c>
      <c r="N600" s="209">
        <f t="shared" si="4"/>
        <v>46270</v>
      </c>
      <c r="O600" s="137"/>
      <c r="P600" s="137"/>
      <c r="Q600" s="137"/>
      <c r="R600" s="137"/>
      <c r="S600" s="137"/>
      <c r="T600" s="137"/>
      <c r="U600" s="137"/>
      <c r="V600" s="137"/>
      <c r="W600" s="137"/>
      <c r="X600" s="137"/>
      <c r="Y600" s="137"/>
      <c r="Z600" s="269">
        <v>320</v>
      </c>
      <c r="AA600" s="194">
        <v>37663494</v>
      </c>
      <c r="AB600" s="167">
        <v>45968</v>
      </c>
      <c r="AC600" s="160">
        <v>168000</v>
      </c>
      <c r="AD600" s="137"/>
      <c r="AE600" s="137"/>
      <c r="AF600" s="137"/>
      <c r="AG600" s="225"/>
      <c r="AH600" s="142" t="s">
        <v>862</v>
      </c>
      <c r="AI600" s="137">
        <v>36742311</v>
      </c>
      <c r="AJ600" s="226">
        <v>45889</v>
      </c>
      <c r="AK600" s="160">
        <v>2016</v>
      </c>
      <c r="AL600" s="137"/>
      <c r="AM600" s="244" t="s">
        <v>872</v>
      </c>
    </row>
    <row r="601" spans="1:39" ht="15.75" customHeight="1" x14ac:dyDescent="0.25">
      <c r="A601" s="363"/>
      <c r="B601" s="201" t="s">
        <v>873</v>
      </c>
      <c r="C601" s="137"/>
      <c r="D601" s="137"/>
      <c r="E601" s="137"/>
      <c r="F601" s="137"/>
      <c r="G601" s="201" t="s">
        <v>874</v>
      </c>
      <c r="H601" s="131">
        <v>45658</v>
      </c>
      <c r="I601" s="201">
        <v>36198467</v>
      </c>
      <c r="J601" s="259">
        <v>2016000</v>
      </c>
      <c r="K601" s="259">
        <v>2016000</v>
      </c>
      <c r="L601" s="265">
        <v>45905</v>
      </c>
      <c r="M601" s="201">
        <v>365</v>
      </c>
      <c r="N601" s="209">
        <f t="shared" si="4"/>
        <v>46270</v>
      </c>
      <c r="O601" s="137"/>
      <c r="P601" s="137"/>
      <c r="Q601" s="137"/>
      <c r="R601" s="137"/>
      <c r="S601" s="137"/>
      <c r="T601" s="137"/>
      <c r="U601" s="137"/>
      <c r="V601" s="137"/>
      <c r="W601" s="137"/>
      <c r="X601" s="137"/>
      <c r="Y601" s="137"/>
      <c r="Z601" s="269">
        <v>738</v>
      </c>
      <c r="AA601" s="194">
        <v>38225415</v>
      </c>
      <c r="AB601" s="167">
        <v>46000</v>
      </c>
      <c r="AC601" s="160">
        <v>161000</v>
      </c>
      <c r="AD601" s="137"/>
      <c r="AE601" s="137"/>
      <c r="AF601" s="137"/>
      <c r="AG601" s="225"/>
      <c r="AH601" s="142" t="s">
        <v>863</v>
      </c>
      <c r="AI601" s="137">
        <v>36742311</v>
      </c>
      <c r="AJ601" s="226">
        <v>45889</v>
      </c>
      <c r="AK601" s="160">
        <v>2016</v>
      </c>
      <c r="AL601" s="137"/>
      <c r="AM601" s="244" t="s">
        <v>872</v>
      </c>
    </row>
    <row r="602" spans="1:39" ht="15.75" customHeight="1" x14ac:dyDescent="0.25">
      <c r="A602" s="363"/>
      <c r="B602" s="201" t="s">
        <v>873</v>
      </c>
      <c r="C602" s="137"/>
      <c r="D602" s="137"/>
      <c r="E602" s="137"/>
      <c r="F602" s="137"/>
      <c r="G602" s="201" t="s">
        <v>874</v>
      </c>
      <c r="H602" s="131">
        <v>45658</v>
      </c>
      <c r="I602" s="201">
        <v>36198467</v>
      </c>
      <c r="J602" s="259">
        <v>2016000</v>
      </c>
      <c r="K602" s="259">
        <v>2016000</v>
      </c>
      <c r="L602" s="265">
        <v>45905</v>
      </c>
      <c r="M602" s="201">
        <v>365</v>
      </c>
      <c r="N602" s="209">
        <f t="shared" si="4"/>
        <v>46270</v>
      </c>
      <c r="O602" s="137"/>
      <c r="P602" s="137"/>
      <c r="Q602" s="137"/>
      <c r="R602" s="137"/>
      <c r="S602" s="137"/>
      <c r="T602" s="137"/>
      <c r="U602" s="137"/>
      <c r="V602" s="137"/>
      <c r="W602" s="137"/>
      <c r="X602" s="137"/>
      <c r="Y602" s="137"/>
      <c r="Z602" s="269">
        <v>855</v>
      </c>
      <c r="AA602" s="194">
        <v>38340389</v>
      </c>
      <c r="AB602" s="167">
        <v>46007</v>
      </c>
      <c r="AC602" s="160">
        <v>168000</v>
      </c>
      <c r="AD602" s="137"/>
      <c r="AE602" s="137"/>
      <c r="AF602" s="137"/>
      <c r="AG602" s="225"/>
      <c r="AH602" s="142" t="s">
        <v>864</v>
      </c>
      <c r="AI602" s="137">
        <v>36742311</v>
      </c>
      <c r="AJ602" s="226">
        <v>45912</v>
      </c>
      <c r="AK602" s="160">
        <v>8064</v>
      </c>
      <c r="AL602" s="137"/>
      <c r="AM602" s="244" t="s">
        <v>872</v>
      </c>
    </row>
    <row r="603" spans="1:39" ht="15.75" customHeight="1" x14ac:dyDescent="0.25">
      <c r="A603" s="363"/>
      <c r="B603" s="201" t="s">
        <v>873</v>
      </c>
      <c r="C603" s="137"/>
      <c r="D603" s="137"/>
      <c r="E603" s="137"/>
      <c r="F603" s="137"/>
      <c r="G603" s="201" t="s">
        <v>874</v>
      </c>
      <c r="H603" s="131">
        <v>45658</v>
      </c>
      <c r="I603" s="201">
        <v>36198467</v>
      </c>
      <c r="J603" s="259">
        <v>2016000</v>
      </c>
      <c r="K603" s="259">
        <v>2016000</v>
      </c>
      <c r="L603" s="265">
        <v>45905</v>
      </c>
      <c r="M603" s="201">
        <v>365</v>
      </c>
      <c r="N603" s="209">
        <f t="shared" si="4"/>
        <v>46270</v>
      </c>
      <c r="O603" s="137"/>
      <c r="P603" s="137"/>
      <c r="Q603" s="137"/>
      <c r="R603" s="137"/>
      <c r="S603" s="137"/>
      <c r="T603" s="137"/>
      <c r="U603" s="137"/>
      <c r="V603" s="137"/>
      <c r="W603" s="137"/>
      <c r="X603" s="137"/>
      <c r="Y603" s="137"/>
      <c r="Z603" s="137">
        <v>373</v>
      </c>
      <c r="AA603" s="194">
        <v>39464117</v>
      </c>
      <c r="AB603" s="167">
        <v>46064</v>
      </c>
      <c r="AC603" s="160">
        <v>161350</v>
      </c>
      <c r="AD603" s="137"/>
      <c r="AE603" s="137"/>
      <c r="AF603" s="137"/>
      <c r="AG603" s="225"/>
      <c r="AH603" s="142" t="s">
        <v>865</v>
      </c>
      <c r="AI603" s="137">
        <v>36742311</v>
      </c>
      <c r="AJ603" s="226">
        <v>45930</v>
      </c>
      <c r="AK603" s="160">
        <v>4032</v>
      </c>
      <c r="AL603" s="137"/>
      <c r="AM603" s="244" t="s">
        <v>872</v>
      </c>
    </row>
    <row r="604" spans="1:39" ht="15.75" customHeight="1" x14ac:dyDescent="0.25">
      <c r="A604" s="363"/>
      <c r="B604" s="201" t="s">
        <v>873</v>
      </c>
      <c r="C604" s="137"/>
      <c r="D604" s="137"/>
      <c r="E604" s="137"/>
      <c r="F604" s="137"/>
      <c r="G604" s="201" t="s">
        <v>874</v>
      </c>
      <c r="H604" s="131">
        <v>45658</v>
      </c>
      <c r="I604" s="201">
        <v>36198467</v>
      </c>
      <c r="J604" s="259">
        <v>2016000</v>
      </c>
      <c r="K604" s="259">
        <v>2016000</v>
      </c>
      <c r="L604" s="265">
        <v>45905</v>
      </c>
      <c r="M604" s="201">
        <v>365</v>
      </c>
      <c r="N604" s="209">
        <f t="shared" si="4"/>
        <v>46270</v>
      </c>
      <c r="O604" s="137"/>
      <c r="P604" s="137"/>
      <c r="Q604" s="137"/>
      <c r="R604" s="137"/>
      <c r="S604" s="137"/>
      <c r="T604" s="137"/>
      <c r="U604" s="137"/>
      <c r="V604" s="137"/>
      <c r="W604" s="137"/>
      <c r="X604" s="137"/>
      <c r="Y604" s="137"/>
      <c r="Z604" s="137">
        <v>654</v>
      </c>
      <c r="AA604" s="194">
        <v>40052567</v>
      </c>
      <c r="AB604" s="167">
        <v>46087</v>
      </c>
      <c r="AC604" s="160">
        <v>166600</v>
      </c>
      <c r="AD604" s="137"/>
      <c r="AE604" s="137"/>
      <c r="AF604" s="137"/>
      <c r="AG604" s="225"/>
      <c r="AH604" s="142" t="s">
        <v>866</v>
      </c>
      <c r="AI604" s="137">
        <v>35096967</v>
      </c>
      <c r="AJ604" s="226">
        <v>45849</v>
      </c>
      <c r="AK604" s="160">
        <v>165984</v>
      </c>
      <c r="AL604" s="137"/>
      <c r="AM604" s="244" t="s">
        <v>872</v>
      </c>
    </row>
    <row r="605" spans="1:39" ht="15.75" customHeight="1" x14ac:dyDescent="0.25">
      <c r="A605" s="363"/>
      <c r="B605" s="201" t="s">
        <v>873</v>
      </c>
      <c r="C605" s="137"/>
      <c r="D605" s="137"/>
      <c r="E605" s="137"/>
      <c r="F605" s="137"/>
      <c r="G605" s="201" t="s">
        <v>874</v>
      </c>
      <c r="H605" s="131">
        <v>45658</v>
      </c>
      <c r="I605" s="201">
        <v>36198467</v>
      </c>
      <c r="J605" s="259">
        <v>2016000</v>
      </c>
      <c r="K605" s="259">
        <v>2016000</v>
      </c>
      <c r="L605" s="265">
        <v>45905</v>
      </c>
      <c r="M605" s="201">
        <v>365</v>
      </c>
      <c r="N605" s="209">
        <f t="shared" si="4"/>
        <v>46270</v>
      </c>
      <c r="O605" s="137"/>
      <c r="P605" s="137"/>
      <c r="Q605" s="137"/>
      <c r="R605" s="137"/>
      <c r="S605" s="137"/>
      <c r="T605" s="137"/>
      <c r="U605" s="137"/>
      <c r="V605" s="137"/>
      <c r="W605" s="137"/>
      <c r="X605" s="137"/>
      <c r="Y605" s="137"/>
      <c r="Z605" s="137"/>
      <c r="AA605" s="194"/>
      <c r="AB605" s="167"/>
      <c r="AC605" s="160"/>
      <c r="AD605" s="137"/>
      <c r="AE605" s="137"/>
      <c r="AF605" s="137"/>
      <c r="AG605" s="225"/>
      <c r="AH605" s="142" t="s">
        <v>867</v>
      </c>
      <c r="AI605" s="137">
        <v>38345874</v>
      </c>
      <c r="AJ605" s="226">
        <v>45992</v>
      </c>
      <c r="AK605" s="160">
        <v>165984</v>
      </c>
      <c r="AL605" s="137"/>
      <c r="AM605" s="244" t="s">
        <v>872</v>
      </c>
    </row>
    <row r="606" spans="1:39" ht="15.75" customHeight="1" x14ac:dyDescent="0.25">
      <c r="A606" s="363"/>
      <c r="B606" s="201" t="s">
        <v>873</v>
      </c>
      <c r="C606" s="137"/>
      <c r="D606" s="137"/>
      <c r="E606" s="137"/>
      <c r="F606" s="137"/>
      <c r="G606" s="201" t="s">
        <v>874</v>
      </c>
      <c r="H606" s="131">
        <v>45658</v>
      </c>
      <c r="I606" s="201">
        <v>36198467</v>
      </c>
      <c r="J606" s="259">
        <v>2016000</v>
      </c>
      <c r="K606" s="259">
        <v>2016000</v>
      </c>
      <c r="L606" s="265">
        <v>45905</v>
      </c>
      <c r="M606" s="201">
        <v>365</v>
      </c>
      <c r="N606" s="209">
        <f t="shared" si="4"/>
        <v>46270</v>
      </c>
      <c r="O606" s="137"/>
      <c r="P606" s="137"/>
      <c r="Q606" s="137"/>
      <c r="R606" s="137"/>
      <c r="S606" s="137"/>
      <c r="T606" s="137"/>
      <c r="U606" s="137"/>
      <c r="V606" s="137"/>
      <c r="W606" s="137"/>
      <c r="X606" s="137"/>
      <c r="Y606" s="137"/>
      <c r="Z606" s="137"/>
      <c r="AA606" s="194"/>
      <c r="AB606" s="167"/>
      <c r="AC606" s="160"/>
      <c r="AD606" s="137"/>
      <c r="AE606" s="137"/>
      <c r="AF606" s="137"/>
      <c r="AG606" s="225"/>
      <c r="AH606" s="142" t="s">
        <v>868</v>
      </c>
      <c r="AI606" s="137">
        <v>40063167</v>
      </c>
      <c r="AJ606" s="226">
        <v>46020</v>
      </c>
      <c r="AK606" s="160">
        <v>159936</v>
      </c>
      <c r="AL606" s="137"/>
      <c r="AM606" s="244" t="s">
        <v>872</v>
      </c>
    </row>
    <row r="607" spans="1:39" ht="15.75" customHeight="1" x14ac:dyDescent="0.25">
      <c r="A607" s="363"/>
      <c r="B607" s="201" t="s">
        <v>873</v>
      </c>
      <c r="C607" s="137"/>
      <c r="D607" s="137"/>
      <c r="E607" s="137"/>
      <c r="F607" s="137"/>
      <c r="G607" s="201" t="s">
        <v>874</v>
      </c>
      <c r="H607" s="131">
        <v>45658</v>
      </c>
      <c r="I607" s="201">
        <v>36198467</v>
      </c>
      <c r="J607" s="259">
        <v>2016000</v>
      </c>
      <c r="K607" s="259">
        <v>2016000</v>
      </c>
      <c r="L607" s="265">
        <v>45905</v>
      </c>
      <c r="M607" s="201">
        <v>365</v>
      </c>
      <c r="N607" s="209">
        <f t="shared" si="4"/>
        <v>46270</v>
      </c>
      <c r="O607" s="137"/>
      <c r="P607" s="137"/>
      <c r="Q607" s="137"/>
      <c r="R607" s="137"/>
      <c r="S607" s="137"/>
      <c r="T607" s="137"/>
      <c r="U607" s="137"/>
      <c r="V607" s="137"/>
      <c r="W607" s="137"/>
      <c r="X607" s="137"/>
      <c r="Y607" s="137"/>
      <c r="Z607" s="137"/>
      <c r="AA607" s="194"/>
      <c r="AB607" s="167"/>
      <c r="AC607" s="160"/>
      <c r="AD607" s="137"/>
      <c r="AE607" s="137"/>
      <c r="AF607" s="137"/>
      <c r="AG607" s="225"/>
      <c r="AH607" s="142" t="s">
        <v>869</v>
      </c>
      <c r="AI607" s="137">
        <v>40063179</v>
      </c>
      <c r="AJ607" s="226">
        <v>46020</v>
      </c>
      <c r="AK607" s="160">
        <v>153272</v>
      </c>
      <c r="AL607" s="137"/>
      <c r="AM607" s="244" t="s">
        <v>872</v>
      </c>
    </row>
    <row r="608" spans="1:39" ht="15.75" customHeight="1" x14ac:dyDescent="0.25">
      <c r="A608" s="363"/>
      <c r="B608" s="201" t="s">
        <v>873</v>
      </c>
      <c r="C608" s="137"/>
      <c r="D608" s="137"/>
      <c r="E608" s="137"/>
      <c r="F608" s="137"/>
      <c r="G608" s="201" t="s">
        <v>874</v>
      </c>
      <c r="H608" s="131">
        <v>45658</v>
      </c>
      <c r="I608" s="201">
        <v>36198467</v>
      </c>
      <c r="J608" s="259">
        <v>2016000</v>
      </c>
      <c r="K608" s="259">
        <v>2016000</v>
      </c>
      <c r="L608" s="265">
        <v>45905</v>
      </c>
      <c r="M608" s="201">
        <v>365</v>
      </c>
      <c r="N608" s="209">
        <f t="shared" si="4"/>
        <v>46270</v>
      </c>
      <c r="O608" s="137"/>
      <c r="P608" s="137"/>
      <c r="Q608" s="137"/>
      <c r="R608" s="137"/>
      <c r="S608" s="137"/>
      <c r="T608" s="137"/>
      <c r="U608" s="137"/>
      <c r="V608" s="137"/>
      <c r="W608" s="137"/>
      <c r="X608" s="137"/>
      <c r="Y608" s="137"/>
      <c r="Z608" s="137"/>
      <c r="AA608" s="194"/>
      <c r="AB608" s="167"/>
      <c r="AC608" s="160"/>
      <c r="AD608" s="137"/>
      <c r="AE608" s="137"/>
      <c r="AF608" s="137"/>
      <c r="AG608" s="225"/>
      <c r="AH608" s="142" t="s">
        <v>870</v>
      </c>
      <c r="AI608" s="137">
        <v>40063189</v>
      </c>
      <c r="AJ608" s="226">
        <v>46020</v>
      </c>
      <c r="AK608" s="160">
        <v>159936</v>
      </c>
      <c r="AL608" s="137"/>
      <c r="AM608" s="244" t="s">
        <v>872</v>
      </c>
    </row>
    <row r="609" spans="1:39" ht="15.75" customHeight="1" x14ac:dyDescent="0.25">
      <c r="A609" s="363"/>
      <c r="B609" s="201" t="s">
        <v>873</v>
      </c>
      <c r="C609" s="137"/>
      <c r="D609" s="137"/>
      <c r="E609" s="137"/>
      <c r="F609" s="137"/>
      <c r="G609" s="201" t="s">
        <v>874</v>
      </c>
      <c r="H609" s="131">
        <v>45658</v>
      </c>
      <c r="I609" s="201">
        <v>36198467</v>
      </c>
      <c r="J609" s="259">
        <v>2016000</v>
      </c>
      <c r="K609" s="259">
        <v>2016000</v>
      </c>
      <c r="L609" s="265">
        <v>45905</v>
      </c>
      <c r="M609" s="201">
        <v>365</v>
      </c>
      <c r="N609" s="209">
        <f t="shared" si="4"/>
        <v>46270</v>
      </c>
      <c r="O609" s="137"/>
      <c r="P609" s="137"/>
      <c r="Q609" s="137"/>
      <c r="R609" s="137"/>
      <c r="S609" s="137"/>
      <c r="T609" s="137"/>
      <c r="U609" s="137"/>
      <c r="V609" s="137"/>
      <c r="W609" s="137"/>
      <c r="X609" s="137"/>
      <c r="Y609" s="137"/>
      <c r="Z609" s="137"/>
      <c r="AA609" s="194"/>
      <c r="AB609" s="167"/>
      <c r="AC609" s="160"/>
      <c r="AD609" s="137"/>
      <c r="AE609" s="137"/>
      <c r="AF609" s="137"/>
      <c r="AG609" s="225"/>
      <c r="AM609" s="244"/>
    </row>
    <row r="610" spans="1:39" ht="15.75" customHeight="1" x14ac:dyDescent="0.25">
      <c r="A610" s="364"/>
      <c r="B610" s="201" t="s">
        <v>873</v>
      </c>
      <c r="C610" s="145"/>
      <c r="D610" s="145"/>
      <c r="E610" s="145"/>
      <c r="F610" s="145"/>
      <c r="G610" s="201" t="s">
        <v>874</v>
      </c>
      <c r="H610" s="131">
        <v>45658</v>
      </c>
      <c r="I610" s="201">
        <v>36198467</v>
      </c>
      <c r="J610" s="259">
        <v>2016000</v>
      </c>
      <c r="K610" s="259">
        <v>2016000</v>
      </c>
      <c r="L610" s="265">
        <v>45905</v>
      </c>
      <c r="M610" s="201">
        <v>365</v>
      </c>
      <c r="N610" s="209">
        <f t="shared" si="4"/>
        <v>46270</v>
      </c>
      <c r="O610" s="145"/>
      <c r="P610" s="145"/>
      <c r="Q610" s="145"/>
      <c r="R610" s="145"/>
      <c r="S610" s="145"/>
      <c r="T610" s="145"/>
      <c r="U610" s="145"/>
      <c r="V610" s="145"/>
      <c r="W610" s="145"/>
      <c r="X610" s="145"/>
      <c r="Y610" s="145"/>
      <c r="Z610" s="145"/>
      <c r="AA610" s="214"/>
      <c r="AB610" s="151"/>
      <c r="AC610" s="161"/>
      <c r="AD610" s="145"/>
      <c r="AE610" s="145"/>
      <c r="AF610" s="145"/>
      <c r="AG610" s="235"/>
      <c r="AH610" s="168"/>
      <c r="AI610" s="145"/>
      <c r="AJ610" s="145"/>
      <c r="AK610" s="161"/>
      <c r="AL610" s="145"/>
      <c r="AM610" s="236"/>
    </row>
    <row r="611" spans="1:39" ht="15.75" customHeight="1" x14ac:dyDescent="0.25">
      <c r="A611" s="59"/>
      <c r="H611" s="59"/>
      <c r="AA611" s="64"/>
      <c r="AJ611" s="123"/>
    </row>
    <row r="612" spans="1:39" ht="15.75" customHeight="1" x14ac:dyDescent="0.25">
      <c r="A612" s="59"/>
      <c r="H612" s="59"/>
      <c r="AA612" s="64"/>
      <c r="AJ612" s="123"/>
    </row>
    <row r="613" spans="1:39" ht="15.75" customHeight="1" x14ac:dyDescent="0.25">
      <c r="A613" s="59"/>
      <c r="H613" s="59"/>
      <c r="AA613" s="64"/>
      <c r="AJ613" s="123"/>
    </row>
    <row r="614" spans="1:39" ht="15.75" customHeight="1" x14ac:dyDescent="0.25">
      <c r="A614" s="59"/>
      <c r="H614" s="59"/>
      <c r="AA614" s="64"/>
      <c r="AJ614" s="123"/>
    </row>
    <row r="615" spans="1:39" ht="15.75" customHeight="1" x14ac:dyDescent="0.25">
      <c r="A615" s="59"/>
      <c r="H615" s="59"/>
      <c r="AA615" s="64"/>
      <c r="AJ615" s="123"/>
    </row>
    <row r="616" spans="1:39" ht="15.75" customHeight="1" x14ac:dyDescent="0.25">
      <c r="A616" s="59"/>
      <c r="H616" s="59"/>
      <c r="AA616" s="64"/>
      <c r="AJ616" s="123"/>
    </row>
    <row r="617" spans="1:39" ht="15.75" customHeight="1" x14ac:dyDescent="0.25">
      <c r="A617" s="59"/>
      <c r="H617" s="59"/>
      <c r="AA617" s="64"/>
      <c r="AJ617" s="123"/>
    </row>
    <row r="618" spans="1:39" ht="15.75" customHeight="1" x14ac:dyDescent="0.25">
      <c r="A618" s="59"/>
      <c r="H618" s="59"/>
      <c r="AA618" s="64"/>
      <c r="AJ618" s="123"/>
    </row>
    <row r="619" spans="1:39" ht="15.75" customHeight="1" x14ac:dyDescent="0.25">
      <c r="A619" s="59"/>
      <c r="H619" s="59"/>
      <c r="AA619" s="64"/>
      <c r="AJ619" s="123"/>
    </row>
    <row r="620" spans="1:39" ht="15.75" customHeight="1" x14ac:dyDescent="0.25">
      <c r="A620" s="59"/>
      <c r="H620" s="59"/>
      <c r="AA620" s="64"/>
      <c r="AJ620" s="123"/>
    </row>
    <row r="621" spans="1:39" ht="15.75" customHeight="1" x14ac:dyDescent="0.25">
      <c r="A621" s="59"/>
      <c r="H621" s="59"/>
      <c r="AA621" s="64"/>
      <c r="AJ621" s="123"/>
    </row>
    <row r="622" spans="1:39" ht="15.75" customHeight="1" x14ac:dyDescent="0.25">
      <c r="A622" s="59"/>
      <c r="H622" s="59"/>
      <c r="AA622" s="64"/>
      <c r="AJ622" s="123"/>
    </row>
    <row r="623" spans="1:39" ht="15.75" customHeight="1" x14ac:dyDescent="0.25">
      <c r="A623" s="59"/>
      <c r="H623" s="59"/>
      <c r="AA623" s="64"/>
      <c r="AJ623" s="123"/>
    </row>
    <row r="624" spans="1:39" ht="15.75" customHeight="1" x14ac:dyDescent="0.25">
      <c r="A624" s="59"/>
      <c r="H624" s="59"/>
      <c r="AA624" s="64"/>
      <c r="AJ624" s="123"/>
    </row>
    <row r="625" spans="1:36" ht="15.75" customHeight="1" x14ac:dyDescent="0.25">
      <c r="A625" s="59"/>
      <c r="H625" s="59"/>
      <c r="AA625" s="64"/>
      <c r="AJ625" s="123"/>
    </row>
    <row r="626" spans="1:36" ht="15.75" customHeight="1" x14ac:dyDescent="0.25">
      <c r="A626" s="59"/>
      <c r="H626" s="59"/>
      <c r="AA626" s="64"/>
      <c r="AJ626" s="123"/>
    </row>
    <row r="627" spans="1:36" ht="15.75" customHeight="1" x14ac:dyDescent="0.25">
      <c r="A627" s="59"/>
      <c r="H627" s="59"/>
      <c r="AA627" s="64"/>
      <c r="AJ627" s="123"/>
    </row>
    <row r="628" spans="1:36" ht="15.75" customHeight="1" x14ac:dyDescent="0.25">
      <c r="A628" s="59"/>
      <c r="H628" s="59"/>
      <c r="AA628" s="64"/>
      <c r="AJ628" s="123"/>
    </row>
    <row r="629" spans="1:36" ht="15.75" customHeight="1" x14ac:dyDescent="0.25">
      <c r="A629" s="59"/>
      <c r="H629" s="59"/>
      <c r="AA629" s="64"/>
      <c r="AJ629" s="123"/>
    </row>
    <row r="630" spans="1:36" ht="15.75" customHeight="1" x14ac:dyDescent="0.25">
      <c r="A630" s="59"/>
      <c r="H630" s="59"/>
      <c r="AA630" s="64"/>
      <c r="AJ630" s="123"/>
    </row>
    <row r="631" spans="1:36" ht="15.75" customHeight="1" x14ac:dyDescent="0.25">
      <c r="A631" s="59"/>
      <c r="H631" s="59"/>
      <c r="AA631" s="64"/>
      <c r="AJ631" s="123"/>
    </row>
    <row r="632" spans="1:36" ht="15.75" customHeight="1" x14ac:dyDescent="0.25">
      <c r="A632" s="59"/>
      <c r="H632" s="59"/>
      <c r="AA632" s="64"/>
      <c r="AJ632" s="123"/>
    </row>
    <row r="633" spans="1:36" ht="15.75" customHeight="1" x14ac:dyDescent="0.25">
      <c r="A633" s="59"/>
      <c r="H633" s="59"/>
      <c r="AA633" s="64"/>
      <c r="AJ633" s="123"/>
    </row>
    <row r="634" spans="1:36" ht="15.75" customHeight="1" x14ac:dyDescent="0.25">
      <c r="A634" s="59"/>
      <c r="H634" s="59"/>
      <c r="AA634" s="64"/>
      <c r="AJ634" s="123"/>
    </row>
    <row r="635" spans="1:36" ht="15.75" customHeight="1" x14ac:dyDescent="0.25">
      <c r="A635" s="59"/>
      <c r="H635" s="59"/>
      <c r="AA635" s="64"/>
      <c r="AJ635" s="123"/>
    </row>
    <row r="636" spans="1:36" ht="15.75" customHeight="1" x14ac:dyDescent="0.25">
      <c r="A636" s="59"/>
      <c r="H636" s="59"/>
      <c r="AA636" s="64"/>
      <c r="AJ636" s="123"/>
    </row>
    <row r="637" spans="1:36" ht="15.75" customHeight="1" x14ac:dyDescent="0.25">
      <c r="A637" s="59"/>
      <c r="H637" s="59"/>
      <c r="AA637" s="64"/>
      <c r="AJ637" s="123"/>
    </row>
    <row r="638" spans="1:36" ht="15.75" customHeight="1" x14ac:dyDescent="0.25">
      <c r="A638" s="59"/>
      <c r="H638" s="59"/>
      <c r="AA638" s="64"/>
      <c r="AJ638" s="123"/>
    </row>
    <row r="639" spans="1:36" ht="15.75" customHeight="1" x14ac:dyDescent="0.25">
      <c r="A639" s="59"/>
      <c r="H639" s="59"/>
      <c r="AA639" s="64"/>
      <c r="AJ639" s="123"/>
    </row>
    <row r="640" spans="1:36" ht="15.75" customHeight="1" x14ac:dyDescent="0.25">
      <c r="A640" s="59"/>
      <c r="H640" s="59"/>
      <c r="AA640" s="64"/>
      <c r="AJ640" s="123"/>
    </row>
    <row r="641" spans="1:36" ht="15.75" customHeight="1" x14ac:dyDescent="0.25">
      <c r="A641" s="59"/>
      <c r="H641" s="59"/>
      <c r="AA641" s="64"/>
      <c r="AJ641" s="123"/>
    </row>
    <row r="642" spans="1:36" ht="15.75" customHeight="1" x14ac:dyDescent="0.25">
      <c r="A642" s="59"/>
      <c r="H642" s="59"/>
      <c r="AA642" s="64"/>
      <c r="AJ642" s="123"/>
    </row>
    <row r="643" spans="1:36" ht="15.75" customHeight="1" x14ac:dyDescent="0.25">
      <c r="A643" s="59"/>
      <c r="H643" s="59"/>
      <c r="AA643" s="64"/>
      <c r="AJ643" s="123"/>
    </row>
    <row r="644" spans="1:36" ht="15.75" customHeight="1" x14ac:dyDescent="0.25">
      <c r="A644" s="59"/>
      <c r="H644" s="59"/>
      <c r="AA644" s="64"/>
      <c r="AJ644" s="123"/>
    </row>
    <row r="645" spans="1:36" ht="15.75" customHeight="1" x14ac:dyDescent="0.25">
      <c r="A645" s="59"/>
      <c r="H645" s="59"/>
      <c r="AA645" s="64"/>
      <c r="AJ645" s="123"/>
    </row>
    <row r="646" spans="1:36" ht="15.75" customHeight="1" x14ac:dyDescent="0.25">
      <c r="A646" s="59"/>
      <c r="H646" s="59"/>
      <c r="AA646" s="64"/>
      <c r="AJ646" s="123"/>
    </row>
    <row r="647" spans="1:36" ht="15.75" customHeight="1" x14ac:dyDescent="0.25">
      <c r="A647" s="59"/>
      <c r="H647" s="59"/>
      <c r="AA647" s="64"/>
      <c r="AJ647" s="123"/>
    </row>
    <row r="648" spans="1:36" ht="15.75" customHeight="1" x14ac:dyDescent="0.25">
      <c r="A648" s="59"/>
      <c r="H648" s="59"/>
      <c r="AA648" s="64"/>
      <c r="AJ648" s="123"/>
    </row>
    <row r="649" spans="1:36" ht="15.75" customHeight="1" x14ac:dyDescent="0.25">
      <c r="A649" s="59"/>
      <c r="H649" s="59"/>
      <c r="AA649" s="64"/>
      <c r="AJ649" s="123"/>
    </row>
    <row r="650" spans="1:36" ht="15.75" customHeight="1" x14ac:dyDescent="0.25">
      <c r="A650" s="59"/>
      <c r="H650" s="59"/>
      <c r="AA650" s="64"/>
      <c r="AJ650" s="123"/>
    </row>
    <row r="651" spans="1:36" ht="15.75" customHeight="1" x14ac:dyDescent="0.25">
      <c r="A651" s="59"/>
      <c r="H651" s="59"/>
      <c r="AA651" s="64"/>
      <c r="AJ651" s="123"/>
    </row>
    <row r="652" spans="1:36" ht="15.75" customHeight="1" x14ac:dyDescent="0.25">
      <c r="A652" s="59"/>
      <c r="H652" s="59"/>
      <c r="AA652" s="64"/>
      <c r="AJ652" s="123"/>
    </row>
    <row r="653" spans="1:36" ht="15.75" customHeight="1" x14ac:dyDescent="0.25">
      <c r="A653" s="59"/>
      <c r="H653" s="59"/>
      <c r="AA653" s="64"/>
      <c r="AJ653" s="123"/>
    </row>
    <row r="654" spans="1:36" ht="15.75" customHeight="1" x14ac:dyDescent="0.25">
      <c r="A654" s="59"/>
      <c r="H654" s="59"/>
      <c r="AA654" s="64"/>
      <c r="AJ654" s="123"/>
    </row>
    <row r="655" spans="1:36" ht="15.75" customHeight="1" x14ac:dyDescent="0.25">
      <c r="A655" s="59"/>
      <c r="H655" s="59"/>
      <c r="AA655" s="64"/>
      <c r="AJ655" s="123"/>
    </row>
    <row r="656" spans="1:36" ht="15.75" customHeight="1" x14ac:dyDescent="0.25">
      <c r="A656" s="59"/>
      <c r="H656" s="59"/>
      <c r="AA656" s="64"/>
      <c r="AJ656" s="123"/>
    </row>
    <row r="657" spans="1:36" ht="15.75" customHeight="1" x14ac:dyDescent="0.25">
      <c r="A657" s="59"/>
      <c r="H657" s="59"/>
      <c r="AA657" s="64"/>
      <c r="AJ657" s="123"/>
    </row>
    <row r="658" spans="1:36" ht="15.75" customHeight="1" x14ac:dyDescent="0.25">
      <c r="A658" s="59"/>
      <c r="H658" s="59"/>
      <c r="AA658" s="64"/>
      <c r="AJ658" s="123"/>
    </row>
    <row r="659" spans="1:36" ht="15.75" customHeight="1" x14ac:dyDescent="0.25">
      <c r="A659" s="59"/>
      <c r="H659" s="59"/>
      <c r="AA659" s="64"/>
      <c r="AJ659" s="123"/>
    </row>
    <row r="660" spans="1:36" ht="15.75" customHeight="1" x14ac:dyDescent="0.25">
      <c r="A660" s="59"/>
      <c r="H660" s="59"/>
      <c r="AA660" s="64"/>
      <c r="AJ660" s="123"/>
    </row>
    <row r="661" spans="1:36" ht="15.75" customHeight="1" x14ac:dyDescent="0.25">
      <c r="A661" s="59"/>
      <c r="H661" s="59"/>
      <c r="AA661" s="64"/>
      <c r="AJ661" s="123"/>
    </row>
    <row r="662" spans="1:36" ht="15.75" customHeight="1" x14ac:dyDescent="0.25">
      <c r="A662" s="59"/>
      <c r="H662" s="59"/>
      <c r="AA662" s="64"/>
      <c r="AJ662" s="123"/>
    </row>
    <row r="663" spans="1:36" ht="15.75" customHeight="1" x14ac:dyDescent="0.25">
      <c r="A663" s="59"/>
      <c r="H663" s="59"/>
      <c r="AA663" s="64"/>
      <c r="AJ663" s="123"/>
    </row>
    <row r="664" spans="1:36" ht="15.75" customHeight="1" x14ac:dyDescent="0.25">
      <c r="A664" s="59"/>
      <c r="H664" s="59"/>
      <c r="AA664" s="64"/>
      <c r="AJ664" s="123"/>
    </row>
    <row r="665" spans="1:36" ht="15.75" customHeight="1" x14ac:dyDescent="0.25">
      <c r="A665" s="59"/>
      <c r="H665" s="59"/>
      <c r="AA665" s="64"/>
      <c r="AJ665" s="123"/>
    </row>
    <row r="666" spans="1:36" ht="15.75" customHeight="1" x14ac:dyDescent="0.25">
      <c r="A666" s="59"/>
      <c r="H666" s="59"/>
      <c r="AA666" s="64"/>
      <c r="AJ666" s="123"/>
    </row>
    <row r="667" spans="1:36" ht="15.75" customHeight="1" x14ac:dyDescent="0.25">
      <c r="A667" s="59"/>
      <c r="H667" s="59"/>
      <c r="AA667" s="64"/>
      <c r="AJ667" s="123"/>
    </row>
    <row r="668" spans="1:36" ht="15.75" customHeight="1" x14ac:dyDescent="0.25">
      <c r="A668" s="59"/>
      <c r="H668" s="59"/>
      <c r="AA668" s="64"/>
      <c r="AJ668" s="123"/>
    </row>
    <row r="669" spans="1:36" ht="15.75" customHeight="1" x14ac:dyDescent="0.25">
      <c r="A669" s="59"/>
      <c r="H669" s="59"/>
      <c r="AA669" s="64"/>
      <c r="AJ669" s="123"/>
    </row>
    <row r="670" spans="1:36" ht="15.75" customHeight="1" x14ac:dyDescent="0.25">
      <c r="A670" s="59"/>
      <c r="H670" s="59"/>
      <c r="AA670" s="64"/>
      <c r="AJ670" s="123"/>
    </row>
    <row r="671" spans="1:36" ht="15.75" customHeight="1" x14ac:dyDescent="0.25">
      <c r="A671" s="59"/>
      <c r="H671" s="59"/>
      <c r="AA671" s="64"/>
      <c r="AJ671" s="123"/>
    </row>
    <row r="672" spans="1:36" ht="15.75" customHeight="1" x14ac:dyDescent="0.25">
      <c r="A672" s="59"/>
      <c r="H672" s="59"/>
      <c r="AA672" s="64"/>
      <c r="AJ672" s="123"/>
    </row>
    <row r="673" spans="1:36" ht="15.75" customHeight="1" x14ac:dyDescent="0.25">
      <c r="A673" s="59"/>
      <c r="H673" s="59"/>
      <c r="AA673" s="64"/>
      <c r="AJ673" s="123"/>
    </row>
    <row r="674" spans="1:36" ht="15.75" customHeight="1" x14ac:dyDescent="0.25">
      <c r="A674" s="59"/>
      <c r="H674" s="59"/>
      <c r="AA674" s="64"/>
      <c r="AJ674" s="123"/>
    </row>
    <row r="675" spans="1:36" ht="15.75" customHeight="1" x14ac:dyDescent="0.25">
      <c r="A675" s="59"/>
      <c r="H675" s="59"/>
      <c r="AA675" s="64"/>
      <c r="AJ675" s="123"/>
    </row>
    <row r="676" spans="1:36" ht="15.75" customHeight="1" x14ac:dyDescent="0.25">
      <c r="A676" s="59"/>
      <c r="H676" s="59"/>
      <c r="AA676" s="64"/>
      <c r="AJ676" s="123"/>
    </row>
    <row r="677" spans="1:36" ht="15.75" customHeight="1" x14ac:dyDescent="0.25">
      <c r="A677" s="59"/>
      <c r="H677" s="59"/>
      <c r="AA677" s="64"/>
      <c r="AJ677" s="123"/>
    </row>
    <row r="678" spans="1:36" ht="15.75" customHeight="1" x14ac:dyDescent="0.25">
      <c r="A678" s="59"/>
      <c r="H678" s="59"/>
      <c r="AA678" s="64"/>
      <c r="AJ678" s="123"/>
    </row>
    <row r="679" spans="1:36" ht="15.75" customHeight="1" x14ac:dyDescent="0.25">
      <c r="A679" s="59"/>
      <c r="H679" s="59"/>
      <c r="AA679" s="64"/>
      <c r="AJ679" s="123"/>
    </row>
    <row r="680" spans="1:36" ht="15.75" customHeight="1" x14ac:dyDescent="0.25">
      <c r="A680" s="59"/>
      <c r="H680" s="59"/>
      <c r="AA680" s="64"/>
      <c r="AJ680" s="123"/>
    </row>
    <row r="681" spans="1:36" ht="15.75" customHeight="1" x14ac:dyDescent="0.25">
      <c r="A681" s="59"/>
      <c r="H681" s="59"/>
      <c r="AA681" s="64"/>
      <c r="AJ681" s="123"/>
    </row>
    <row r="682" spans="1:36" ht="15.75" customHeight="1" x14ac:dyDescent="0.25">
      <c r="A682" s="59"/>
      <c r="H682" s="59"/>
      <c r="AA682" s="64"/>
      <c r="AJ682" s="123"/>
    </row>
    <row r="683" spans="1:36" ht="15.75" customHeight="1" x14ac:dyDescent="0.25">
      <c r="A683" s="59"/>
      <c r="H683" s="59"/>
      <c r="AA683" s="64"/>
      <c r="AJ683" s="123"/>
    </row>
    <row r="684" spans="1:36" ht="15.75" customHeight="1" x14ac:dyDescent="0.25">
      <c r="A684" s="59"/>
      <c r="H684" s="59"/>
      <c r="AA684" s="64"/>
      <c r="AJ684" s="123"/>
    </row>
    <row r="685" spans="1:36" ht="15.75" customHeight="1" x14ac:dyDescent="0.25">
      <c r="A685" s="59"/>
      <c r="H685" s="59"/>
      <c r="AA685" s="64"/>
      <c r="AJ685" s="123"/>
    </row>
    <row r="686" spans="1:36" ht="15.75" customHeight="1" x14ac:dyDescent="0.25">
      <c r="A686" s="59"/>
      <c r="H686" s="59"/>
      <c r="AA686" s="64"/>
      <c r="AJ686" s="123"/>
    </row>
    <row r="687" spans="1:36" ht="15.75" customHeight="1" x14ac:dyDescent="0.25">
      <c r="A687" s="59"/>
      <c r="H687" s="59"/>
      <c r="AA687" s="64"/>
      <c r="AJ687" s="123"/>
    </row>
    <row r="688" spans="1:36" ht="15.75" customHeight="1" x14ac:dyDescent="0.25">
      <c r="A688" s="59"/>
      <c r="H688" s="59"/>
      <c r="AA688" s="64"/>
      <c r="AJ688" s="123"/>
    </row>
    <row r="689" spans="1:36" ht="15.75" customHeight="1" x14ac:dyDescent="0.25">
      <c r="A689" s="59"/>
      <c r="H689" s="59"/>
      <c r="AA689" s="64"/>
      <c r="AJ689" s="123"/>
    </row>
    <row r="690" spans="1:36" ht="15.75" customHeight="1" x14ac:dyDescent="0.25">
      <c r="A690" s="59"/>
      <c r="H690" s="59"/>
      <c r="AA690" s="64"/>
      <c r="AJ690" s="123"/>
    </row>
    <row r="691" spans="1:36" ht="15.75" customHeight="1" x14ac:dyDescent="0.25">
      <c r="A691" s="59"/>
      <c r="H691" s="59"/>
      <c r="AA691" s="64"/>
      <c r="AJ691" s="123"/>
    </row>
    <row r="692" spans="1:36" ht="15.75" customHeight="1" x14ac:dyDescent="0.25">
      <c r="A692" s="59"/>
      <c r="H692" s="59"/>
      <c r="AA692" s="64"/>
      <c r="AJ692" s="123"/>
    </row>
    <row r="693" spans="1:36" ht="15.75" customHeight="1" x14ac:dyDescent="0.25">
      <c r="A693" s="59"/>
      <c r="H693" s="59"/>
      <c r="AA693" s="64"/>
      <c r="AJ693" s="123"/>
    </row>
    <row r="694" spans="1:36" ht="15.75" customHeight="1" x14ac:dyDescent="0.25">
      <c r="A694" s="59"/>
      <c r="H694" s="59"/>
      <c r="AA694" s="64"/>
      <c r="AJ694" s="123"/>
    </row>
    <row r="695" spans="1:36" ht="15.75" customHeight="1" x14ac:dyDescent="0.25">
      <c r="A695" s="59"/>
      <c r="H695" s="59"/>
      <c r="AA695" s="64"/>
      <c r="AJ695" s="123"/>
    </row>
    <row r="696" spans="1:36" ht="15.75" customHeight="1" x14ac:dyDescent="0.25">
      <c r="A696" s="59"/>
      <c r="H696" s="59"/>
      <c r="AA696" s="64"/>
      <c r="AJ696" s="123"/>
    </row>
    <row r="697" spans="1:36" ht="15.75" customHeight="1" x14ac:dyDescent="0.25">
      <c r="A697" s="59"/>
      <c r="H697" s="59"/>
      <c r="AA697" s="64"/>
      <c r="AJ697" s="123"/>
    </row>
    <row r="698" spans="1:36" ht="15.75" customHeight="1" x14ac:dyDescent="0.25">
      <c r="A698" s="59"/>
      <c r="H698" s="59"/>
      <c r="AA698" s="64"/>
      <c r="AJ698" s="123"/>
    </row>
    <row r="699" spans="1:36" ht="15.75" customHeight="1" x14ac:dyDescent="0.25">
      <c r="A699" s="59"/>
      <c r="H699" s="59"/>
      <c r="AA699" s="64"/>
      <c r="AJ699" s="123"/>
    </row>
    <row r="700" spans="1:36" ht="15.75" customHeight="1" x14ac:dyDescent="0.25">
      <c r="A700" s="59"/>
      <c r="H700" s="59"/>
      <c r="AA700" s="64"/>
      <c r="AJ700" s="123"/>
    </row>
    <row r="701" spans="1:36" ht="15.75" customHeight="1" x14ac:dyDescent="0.25">
      <c r="A701" s="59"/>
      <c r="H701" s="59"/>
      <c r="AA701" s="64"/>
      <c r="AJ701" s="123"/>
    </row>
    <row r="702" spans="1:36" ht="15.75" customHeight="1" x14ac:dyDescent="0.25">
      <c r="A702" s="59"/>
      <c r="H702" s="59"/>
      <c r="AA702" s="64"/>
      <c r="AJ702" s="123"/>
    </row>
    <row r="703" spans="1:36" ht="15.75" customHeight="1" x14ac:dyDescent="0.25">
      <c r="A703" s="59"/>
      <c r="H703" s="59"/>
      <c r="AA703" s="64"/>
      <c r="AJ703" s="123"/>
    </row>
    <row r="704" spans="1:36" ht="15.75" customHeight="1" x14ac:dyDescent="0.25">
      <c r="A704" s="59"/>
      <c r="H704" s="59"/>
      <c r="AA704" s="64"/>
      <c r="AJ704" s="123"/>
    </row>
    <row r="705" spans="1:36" ht="15.75" customHeight="1" x14ac:dyDescent="0.25">
      <c r="A705" s="59"/>
      <c r="H705" s="59"/>
      <c r="AA705" s="64"/>
      <c r="AJ705" s="123"/>
    </row>
    <row r="706" spans="1:36" ht="15.75" customHeight="1" x14ac:dyDescent="0.25">
      <c r="A706" s="59"/>
      <c r="H706" s="59"/>
      <c r="AA706" s="64"/>
      <c r="AJ706" s="123"/>
    </row>
    <row r="707" spans="1:36" ht="15.75" customHeight="1" x14ac:dyDescent="0.25">
      <c r="A707" s="59"/>
      <c r="H707" s="59"/>
      <c r="AA707" s="64"/>
      <c r="AJ707" s="123"/>
    </row>
    <row r="708" spans="1:36" ht="15.75" customHeight="1" x14ac:dyDescent="0.25">
      <c r="A708" s="59"/>
      <c r="H708" s="59"/>
      <c r="AA708" s="64"/>
      <c r="AJ708" s="123"/>
    </row>
    <row r="709" spans="1:36" ht="15.75" customHeight="1" x14ac:dyDescent="0.25">
      <c r="A709" s="59"/>
      <c r="H709" s="59"/>
      <c r="AA709" s="64"/>
      <c r="AJ709" s="123"/>
    </row>
    <row r="710" spans="1:36" ht="15.75" customHeight="1" x14ac:dyDescent="0.25">
      <c r="A710" s="59"/>
      <c r="H710" s="59"/>
      <c r="AA710" s="64"/>
      <c r="AJ710" s="123"/>
    </row>
    <row r="711" spans="1:36" ht="15.75" customHeight="1" x14ac:dyDescent="0.25">
      <c r="A711" s="59"/>
      <c r="H711" s="59"/>
      <c r="AA711" s="64"/>
      <c r="AJ711" s="123"/>
    </row>
    <row r="712" spans="1:36" ht="15.75" customHeight="1" x14ac:dyDescent="0.25">
      <c r="A712" s="59"/>
      <c r="H712" s="59"/>
      <c r="AA712" s="64"/>
      <c r="AJ712" s="123"/>
    </row>
    <row r="713" spans="1:36" ht="15.75" customHeight="1" x14ac:dyDescent="0.25">
      <c r="A713" s="59"/>
      <c r="H713" s="59"/>
      <c r="AA713" s="64"/>
      <c r="AJ713" s="123"/>
    </row>
    <row r="714" spans="1:36" ht="15.75" customHeight="1" x14ac:dyDescent="0.25">
      <c r="A714" s="59"/>
      <c r="H714" s="59"/>
      <c r="AA714" s="64"/>
      <c r="AJ714" s="123"/>
    </row>
    <row r="715" spans="1:36" ht="15.75" customHeight="1" x14ac:dyDescent="0.25">
      <c r="A715" s="59"/>
      <c r="H715" s="59"/>
      <c r="AA715" s="64"/>
      <c r="AJ715" s="123"/>
    </row>
    <row r="716" spans="1:36" ht="15.75" customHeight="1" x14ac:dyDescent="0.25">
      <c r="A716" s="59"/>
      <c r="H716" s="59"/>
      <c r="AA716" s="64"/>
      <c r="AJ716" s="123"/>
    </row>
    <row r="717" spans="1:36" ht="15.75" customHeight="1" x14ac:dyDescent="0.25">
      <c r="A717" s="59"/>
      <c r="H717" s="59"/>
      <c r="AA717" s="64"/>
      <c r="AJ717" s="123"/>
    </row>
    <row r="718" spans="1:36" ht="15.75" customHeight="1" x14ac:dyDescent="0.25">
      <c r="A718" s="59"/>
      <c r="H718" s="59"/>
      <c r="AA718" s="64"/>
      <c r="AJ718" s="123"/>
    </row>
    <row r="719" spans="1:36" ht="15.75" customHeight="1" x14ac:dyDescent="0.25">
      <c r="A719" s="59"/>
      <c r="H719" s="59"/>
      <c r="AA719" s="64"/>
      <c r="AJ719" s="123"/>
    </row>
    <row r="720" spans="1:36" ht="15.75" customHeight="1" x14ac:dyDescent="0.25">
      <c r="A720" s="59"/>
      <c r="H720" s="59"/>
      <c r="AA720" s="64"/>
      <c r="AJ720" s="123"/>
    </row>
    <row r="721" spans="1:36" ht="15.75" customHeight="1" x14ac:dyDescent="0.25">
      <c r="A721" s="59"/>
      <c r="H721" s="59"/>
      <c r="AA721" s="64"/>
      <c r="AJ721" s="123"/>
    </row>
    <row r="722" spans="1:36" ht="15.75" customHeight="1" x14ac:dyDescent="0.25">
      <c r="A722" s="59"/>
      <c r="H722" s="59"/>
      <c r="AA722" s="64"/>
      <c r="AJ722" s="123"/>
    </row>
    <row r="723" spans="1:36" ht="15.75" customHeight="1" x14ac:dyDescent="0.25">
      <c r="A723" s="59"/>
      <c r="H723" s="59"/>
      <c r="AA723" s="64"/>
      <c r="AJ723" s="123"/>
    </row>
    <row r="724" spans="1:36" ht="15.75" customHeight="1" x14ac:dyDescent="0.25">
      <c r="A724" s="59"/>
      <c r="H724" s="59"/>
      <c r="AA724" s="64"/>
      <c r="AJ724" s="123"/>
    </row>
    <row r="725" spans="1:36" ht="15.75" customHeight="1" x14ac:dyDescent="0.25">
      <c r="A725" s="59"/>
      <c r="H725" s="59"/>
      <c r="AA725" s="64"/>
      <c r="AJ725" s="123"/>
    </row>
    <row r="726" spans="1:36" ht="15.75" customHeight="1" x14ac:dyDescent="0.25">
      <c r="A726" s="59"/>
      <c r="H726" s="59"/>
      <c r="AA726" s="64"/>
      <c r="AJ726" s="123"/>
    </row>
    <row r="727" spans="1:36" ht="15.75" customHeight="1" x14ac:dyDescent="0.25">
      <c r="A727" s="59"/>
      <c r="H727" s="59"/>
      <c r="AA727" s="64"/>
      <c r="AJ727" s="123"/>
    </row>
    <row r="728" spans="1:36" ht="15.75" customHeight="1" x14ac:dyDescent="0.25">
      <c r="A728" s="59"/>
      <c r="H728" s="59"/>
      <c r="AA728" s="64"/>
      <c r="AJ728" s="123"/>
    </row>
    <row r="729" spans="1:36" ht="15.75" customHeight="1" x14ac:dyDescent="0.25">
      <c r="A729" s="59"/>
      <c r="H729" s="59"/>
      <c r="AA729" s="64"/>
      <c r="AJ729" s="123"/>
    </row>
    <row r="730" spans="1:36" ht="15.75" customHeight="1" x14ac:dyDescent="0.25">
      <c r="A730" s="59"/>
      <c r="H730" s="59"/>
      <c r="AA730" s="64"/>
      <c r="AJ730" s="123"/>
    </row>
    <row r="731" spans="1:36" ht="15.75" customHeight="1" x14ac:dyDescent="0.25">
      <c r="A731" s="59"/>
      <c r="H731" s="59"/>
      <c r="AA731" s="64"/>
      <c r="AJ731" s="123"/>
    </row>
    <row r="732" spans="1:36" ht="15.75" customHeight="1" x14ac:dyDescent="0.25">
      <c r="A732" s="59"/>
      <c r="H732" s="59"/>
      <c r="AA732" s="64"/>
      <c r="AJ732" s="123"/>
    </row>
    <row r="733" spans="1:36" ht="15.75" customHeight="1" x14ac:dyDescent="0.25">
      <c r="A733" s="59"/>
      <c r="H733" s="59"/>
      <c r="AA733" s="64"/>
      <c r="AJ733" s="123"/>
    </row>
    <row r="734" spans="1:36" ht="15.75" customHeight="1" x14ac:dyDescent="0.25">
      <c r="A734" s="59"/>
      <c r="H734" s="59"/>
      <c r="AA734" s="64"/>
      <c r="AJ734" s="123"/>
    </row>
    <row r="735" spans="1:36" ht="15.75" customHeight="1" x14ac:dyDescent="0.25">
      <c r="A735" s="59"/>
      <c r="H735" s="59"/>
      <c r="AA735" s="64"/>
      <c r="AJ735" s="123"/>
    </row>
    <row r="736" spans="1:36" ht="15.75" customHeight="1" x14ac:dyDescent="0.25">
      <c r="A736" s="59"/>
      <c r="H736" s="59"/>
      <c r="AA736" s="64"/>
      <c r="AJ736" s="123"/>
    </row>
    <row r="737" spans="1:36" ht="15.75" customHeight="1" x14ac:dyDescent="0.25">
      <c r="A737" s="59"/>
      <c r="H737" s="59"/>
      <c r="AA737" s="64"/>
      <c r="AJ737" s="123"/>
    </row>
    <row r="738" spans="1:36" ht="15.75" customHeight="1" x14ac:dyDescent="0.25">
      <c r="A738" s="59"/>
      <c r="H738" s="59"/>
      <c r="AA738" s="64"/>
      <c r="AJ738" s="123"/>
    </row>
    <row r="739" spans="1:36" ht="15.75" customHeight="1" x14ac:dyDescent="0.25">
      <c r="A739" s="59"/>
      <c r="H739" s="59"/>
      <c r="AA739" s="64"/>
      <c r="AJ739" s="123"/>
    </row>
    <row r="740" spans="1:36" ht="15.75" customHeight="1" x14ac:dyDescent="0.25">
      <c r="A740" s="59"/>
      <c r="H740" s="59"/>
      <c r="AA740" s="64"/>
      <c r="AJ740" s="123"/>
    </row>
    <row r="741" spans="1:36" ht="15.75" customHeight="1" x14ac:dyDescent="0.25">
      <c r="A741" s="59"/>
      <c r="H741" s="59"/>
      <c r="AA741" s="64"/>
      <c r="AJ741" s="123"/>
    </row>
    <row r="742" spans="1:36" ht="15.75" customHeight="1" x14ac:dyDescent="0.25">
      <c r="A742" s="59"/>
      <c r="H742" s="59"/>
      <c r="AA742" s="64"/>
      <c r="AJ742" s="123"/>
    </row>
    <row r="743" spans="1:36" ht="15.75" customHeight="1" x14ac:dyDescent="0.25">
      <c r="A743" s="59"/>
      <c r="H743" s="59"/>
      <c r="AA743" s="64"/>
      <c r="AJ743" s="123"/>
    </row>
    <row r="744" spans="1:36" ht="15.75" customHeight="1" x14ac:dyDescent="0.25">
      <c r="A744" s="59"/>
      <c r="H744" s="59"/>
      <c r="AA744" s="64"/>
      <c r="AJ744" s="123"/>
    </row>
    <row r="745" spans="1:36" ht="15.75" customHeight="1" x14ac:dyDescent="0.25">
      <c r="A745" s="59"/>
      <c r="H745" s="59"/>
      <c r="AA745" s="64"/>
      <c r="AJ745" s="123"/>
    </row>
    <row r="746" spans="1:36" ht="15.75" customHeight="1" x14ac:dyDescent="0.25">
      <c r="A746" s="59"/>
      <c r="H746" s="59"/>
      <c r="AA746" s="64"/>
      <c r="AJ746" s="123"/>
    </row>
    <row r="747" spans="1:36" ht="15.75" customHeight="1" x14ac:dyDescent="0.25">
      <c r="A747" s="59"/>
      <c r="H747" s="59"/>
      <c r="AA747" s="64"/>
      <c r="AJ747" s="123"/>
    </row>
    <row r="748" spans="1:36" ht="15.75" customHeight="1" x14ac:dyDescent="0.25">
      <c r="A748" s="59"/>
      <c r="H748" s="59"/>
      <c r="AA748" s="64"/>
      <c r="AJ748" s="123"/>
    </row>
    <row r="749" spans="1:36" ht="15.75" customHeight="1" x14ac:dyDescent="0.25">
      <c r="A749" s="59"/>
      <c r="H749" s="59"/>
      <c r="AA749" s="64"/>
      <c r="AJ749" s="123"/>
    </row>
    <row r="750" spans="1:36" ht="15.75" customHeight="1" x14ac:dyDescent="0.25">
      <c r="A750" s="59"/>
      <c r="H750" s="59"/>
      <c r="AA750" s="64"/>
      <c r="AJ750" s="123"/>
    </row>
    <row r="751" spans="1:36" ht="15.75" customHeight="1" x14ac:dyDescent="0.25">
      <c r="A751" s="59"/>
      <c r="H751" s="59"/>
      <c r="AA751" s="64"/>
      <c r="AJ751" s="123"/>
    </row>
    <row r="752" spans="1:36" ht="15.75" customHeight="1" x14ac:dyDescent="0.25">
      <c r="A752" s="59"/>
      <c r="H752" s="59"/>
      <c r="AA752" s="64"/>
      <c r="AJ752" s="123"/>
    </row>
    <row r="753" spans="1:36" ht="15.75" customHeight="1" x14ac:dyDescent="0.25">
      <c r="A753" s="59"/>
      <c r="H753" s="59"/>
      <c r="AA753" s="64"/>
      <c r="AJ753" s="123"/>
    </row>
    <row r="754" spans="1:36" ht="15.75" customHeight="1" x14ac:dyDescent="0.25">
      <c r="A754" s="59"/>
      <c r="H754" s="59"/>
      <c r="AA754" s="64"/>
      <c r="AJ754" s="123"/>
    </row>
    <row r="755" spans="1:36" ht="15.75" customHeight="1" x14ac:dyDescent="0.25">
      <c r="A755" s="59"/>
      <c r="H755" s="59"/>
      <c r="AA755" s="64"/>
      <c r="AJ755" s="123"/>
    </row>
    <row r="756" spans="1:36" ht="15.75" customHeight="1" x14ac:dyDescent="0.25">
      <c r="A756" s="59"/>
      <c r="H756" s="59"/>
      <c r="AA756" s="64"/>
      <c r="AJ756" s="123"/>
    </row>
    <row r="757" spans="1:36" ht="15.75" customHeight="1" x14ac:dyDescent="0.25">
      <c r="A757" s="59"/>
      <c r="H757" s="59"/>
      <c r="AA757" s="64"/>
      <c r="AJ757" s="123"/>
    </row>
    <row r="758" spans="1:36" ht="15.75" customHeight="1" x14ac:dyDescent="0.25">
      <c r="A758" s="59"/>
      <c r="H758" s="59"/>
      <c r="AA758" s="64"/>
      <c r="AJ758" s="123"/>
    </row>
    <row r="759" spans="1:36" ht="15.75" customHeight="1" x14ac:dyDescent="0.25">
      <c r="A759" s="59"/>
      <c r="H759" s="59"/>
      <c r="AA759" s="64"/>
      <c r="AJ759" s="123"/>
    </row>
    <row r="760" spans="1:36" ht="15.75" customHeight="1" x14ac:dyDescent="0.25">
      <c r="A760" s="59"/>
      <c r="H760" s="59"/>
      <c r="AA760" s="64"/>
      <c r="AJ760" s="123"/>
    </row>
    <row r="761" spans="1:36" ht="15.75" customHeight="1" x14ac:dyDescent="0.25">
      <c r="A761" s="59"/>
      <c r="H761" s="59"/>
      <c r="AA761" s="64"/>
      <c r="AJ761" s="123"/>
    </row>
    <row r="762" spans="1:36" ht="15.75" customHeight="1" x14ac:dyDescent="0.25">
      <c r="A762" s="59"/>
      <c r="H762" s="59"/>
      <c r="AA762" s="64"/>
      <c r="AJ762" s="123"/>
    </row>
    <row r="763" spans="1:36" ht="15.75" customHeight="1" x14ac:dyDescent="0.25">
      <c r="A763" s="59"/>
      <c r="H763" s="59"/>
      <c r="AA763" s="64"/>
      <c r="AJ763" s="123"/>
    </row>
    <row r="764" spans="1:36" ht="15.75" customHeight="1" x14ac:dyDescent="0.25">
      <c r="A764" s="59"/>
      <c r="H764" s="59"/>
      <c r="AA764" s="64"/>
      <c r="AJ764" s="123"/>
    </row>
    <row r="765" spans="1:36" ht="15.75" customHeight="1" x14ac:dyDescent="0.25">
      <c r="A765" s="59"/>
      <c r="H765" s="59"/>
      <c r="AA765" s="64"/>
      <c r="AJ765" s="123"/>
    </row>
    <row r="766" spans="1:36" ht="15.75" customHeight="1" x14ac:dyDescent="0.25">
      <c r="A766" s="59"/>
      <c r="H766" s="59"/>
      <c r="AA766" s="64"/>
      <c r="AJ766" s="123"/>
    </row>
    <row r="767" spans="1:36" ht="15.75" customHeight="1" x14ac:dyDescent="0.25">
      <c r="A767" s="59"/>
      <c r="H767" s="59"/>
      <c r="AA767" s="64"/>
      <c r="AJ767" s="123"/>
    </row>
    <row r="768" spans="1:36" ht="15.75" customHeight="1" x14ac:dyDescent="0.25">
      <c r="A768" s="59"/>
      <c r="H768" s="59"/>
      <c r="AA768" s="64"/>
      <c r="AJ768" s="123"/>
    </row>
    <row r="769" spans="1:36" ht="15.75" customHeight="1" x14ac:dyDescent="0.25">
      <c r="A769" s="59"/>
      <c r="H769" s="59"/>
      <c r="AA769" s="64"/>
      <c r="AJ769" s="123"/>
    </row>
    <row r="770" spans="1:36" ht="15.75" customHeight="1" x14ac:dyDescent="0.25">
      <c r="A770" s="59"/>
      <c r="H770" s="59"/>
      <c r="AA770" s="64"/>
      <c r="AJ770" s="123"/>
    </row>
    <row r="771" spans="1:36" ht="15.75" customHeight="1" x14ac:dyDescent="0.25">
      <c r="A771" s="59"/>
      <c r="H771" s="59"/>
      <c r="AA771" s="64"/>
      <c r="AJ771" s="123"/>
    </row>
    <row r="772" spans="1:36" ht="15.75" customHeight="1" x14ac:dyDescent="0.25">
      <c r="A772" s="59"/>
      <c r="H772" s="59"/>
      <c r="AA772" s="64"/>
      <c r="AJ772" s="123"/>
    </row>
    <row r="773" spans="1:36" ht="15.75" customHeight="1" x14ac:dyDescent="0.25">
      <c r="A773" s="59"/>
      <c r="H773" s="59"/>
      <c r="AA773" s="64"/>
      <c r="AJ773" s="123"/>
    </row>
    <row r="774" spans="1:36" ht="15.75" customHeight="1" x14ac:dyDescent="0.25">
      <c r="A774" s="59"/>
      <c r="H774" s="59"/>
      <c r="AA774" s="64"/>
      <c r="AJ774" s="123"/>
    </row>
    <row r="775" spans="1:36" ht="15.75" customHeight="1" x14ac:dyDescent="0.25">
      <c r="A775" s="59"/>
      <c r="H775" s="59"/>
      <c r="AA775" s="64"/>
      <c r="AJ775" s="123"/>
    </row>
    <row r="776" spans="1:36" ht="15.75" customHeight="1" x14ac:dyDescent="0.25">
      <c r="A776" s="59"/>
      <c r="H776" s="59"/>
      <c r="AA776" s="64"/>
      <c r="AJ776" s="123"/>
    </row>
    <row r="777" spans="1:36" ht="15.75" customHeight="1" x14ac:dyDescent="0.25">
      <c r="A777" s="59"/>
      <c r="H777" s="59"/>
      <c r="AA777" s="64"/>
      <c r="AJ777" s="123"/>
    </row>
    <row r="778" spans="1:36" ht="15.75" customHeight="1" x14ac:dyDescent="0.25">
      <c r="A778" s="59"/>
      <c r="H778" s="59"/>
      <c r="AA778" s="64"/>
      <c r="AJ778" s="123"/>
    </row>
    <row r="779" spans="1:36" ht="15.75" customHeight="1" x14ac:dyDescent="0.25">
      <c r="A779" s="59"/>
      <c r="H779" s="59"/>
      <c r="AA779" s="64"/>
      <c r="AJ779" s="123"/>
    </row>
    <row r="780" spans="1:36" ht="15.75" customHeight="1" x14ac:dyDescent="0.25">
      <c r="A780" s="59"/>
      <c r="H780" s="59"/>
      <c r="AA780" s="64"/>
      <c r="AJ780" s="123"/>
    </row>
    <row r="781" spans="1:36" ht="15.75" customHeight="1" x14ac:dyDescent="0.25">
      <c r="A781" s="59"/>
      <c r="H781" s="59"/>
      <c r="AA781" s="64"/>
      <c r="AJ781" s="123"/>
    </row>
    <row r="782" spans="1:36" ht="15.75" customHeight="1" x14ac:dyDescent="0.25">
      <c r="A782" s="59"/>
      <c r="H782" s="59"/>
      <c r="AA782" s="64"/>
      <c r="AJ782" s="123"/>
    </row>
    <row r="783" spans="1:36" ht="15.75" customHeight="1" x14ac:dyDescent="0.25">
      <c r="A783" s="59"/>
      <c r="H783" s="59"/>
      <c r="AA783" s="64"/>
      <c r="AJ783" s="123"/>
    </row>
    <row r="784" spans="1:36" ht="15.75" customHeight="1" x14ac:dyDescent="0.25">
      <c r="A784" s="59"/>
      <c r="H784" s="59"/>
      <c r="AA784" s="64"/>
      <c r="AJ784" s="123"/>
    </row>
    <row r="785" spans="1:36" ht="15.75" customHeight="1" x14ac:dyDescent="0.25">
      <c r="A785" s="59"/>
      <c r="H785" s="59"/>
      <c r="AA785" s="64"/>
      <c r="AJ785" s="123"/>
    </row>
    <row r="786" spans="1:36" ht="15.75" customHeight="1" x14ac:dyDescent="0.25">
      <c r="A786" s="59"/>
      <c r="H786" s="59"/>
      <c r="AA786" s="64"/>
      <c r="AJ786" s="123"/>
    </row>
    <row r="787" spans="1:36" ht="15.75" customHeight="1" x14ac:dyDescent="0.25">
      <c r="A787" s="59"/>
      <c r="H787" s="59"/>
      <c r="AA787" s="64"/>
      <c r="AJ787" s="123"/>
    </row>
    <row r="788" spans="1:36" ht="15.75" customHeight="1" x14ac:dyDescent="0.25">
      <c r="A788" s="59"/>
      <c r="H788" s="59"/>
      <c r="AA788" s="64"/>
      <c r="AJ788" s="123"/>
    </row>
    <row r="789" spans="1:36" ht="15.75" customHeight="1" x14ac:dyDescent="0.25">
      <c r="A789" s="59"/>
      <c r="H789" s="59"/>
      <c r="AA789" s="64"/>
      <c r="AJ789" s="123"/>
    </row>
    <row r="790" spans="1:36" ht="15.75" customHeight="1" x14ac:dyDescent="0.25">
      <c r="A790" s="59"/>
      <c r="H790" s="59"/>
      <c r="AA790" s="64"/>
      <c r="AJ790" s="123"/>
    </row>
    <row r="791" spans="1:36" ht="15.75" customHeight="1" x14ac:dyDescent="0.25">
      <c r="A791" s="59"/>
      <c r="H791" s="59"/>
      <c r="AA791" s="64"/>
      <c r="AJ791" s="123"/>
    </row>
    <row r="792" spans="1:36" ht="15.75" customHeight="1" x14ac:dyDescent="0.25">
      <c r="A792" s="59"/>
      <c r="H792" s="59"/>
      <c r="AA792" s="64"/>
      <c r="AJ792" s="123"/>
    </row>
    <row r="793" spans="1:36" ht="15.75" customHeight="1" x14ac:dyDescent="0.25">
      <c r="A793" s="59"/>
      <c r="H793" s="59"/>
      <c r="AA793" s="64"/>
      <c r="AJ793" s="123"/>
    </row>
    <row r="794" spans="1:36" ht="15.75" customHeight="1" x14ac:dyDescent="0.25">
      <c r="A794" s="59"/>
      <c r="H794" s="59"/>
      <c r="AA794" s="64"/>
      <c r="AJ794" s="123"/>
    </row>
    <row r="795" spans="1:36" ht="15.75" customHeight="1" x14ac:dyDescent="0.25">
      <c r="A795" s="59"/>
      <c r="H795" s="59"/>
      <c r="AA795" s="64"/>
      <c r="AJ795" s="123"/>
    </row>
    <row r="796" spans="1:36" ht="15.75" customHeight="1" x14ac:dyDescent="0.25">
      <c r="A796" s="59"/>
      <c r="H796" s="59"/>
      <c r="AA796" s="64"/>
      <c r="AJ796" s="123"/>
    </row>
    <row r="797" spans="1:36" ht="15.75" customHeight="1" x14ac:dyDescent="0.25">
      <c r="A797" s="59"/>
      <c r="H797" s="59"/>
      <c r="AA797" s="64"/>
      <c r="AJ797" s="123"/>
    </row>
    <row r="798" spans="1:36" ht="15.75" customHeight="1" x14ac:dyDescent="0.25">
      <c r="A798" s="59"/>
      <c r="H798" s="59"/>
      <c r="AA798" s="64"/>
      <c r="AJ798" s="123"/>
    </row>
    <row r="799" spans="1:36" ht="15.75" customHeight="1" x14ac:dyDescent="0.25">
      <c r="A799" s="59"/>
      <c r="H799" s="59"/>
      <c r="AA799" s="64"/>
      <c r="AJ799" s="123"/>
    </row>
    <row r="800" spans="1:36" ht="15.75" customHeight="1" x14ac:dyDescent="0.25">
      <c r="A800" s="59"/>
      <c r="H800" s="59"/>
      <c r="AA800" s="64"/>
      <c r="AJ800" s="123"/>
    </row>
    <row r="801" spans="1:36" ht="15.75" customHeight="1" x14ac:dyDescent="0.25">
      <c r="A801" s="59"/>
      <c r="H801" s="59"/>
      <c r="AA801" s="64"/>
      <c r="AJ801" s="123"/>
    </row>
    <row r="802" spans="1:36" ht="15.75" customHeight="1" x14ac:dyDescent="0.25">
      <c r="A802" s="59"/>
      <c r="H802" s="59"/>
      <c r="AA802" s="64"/>
      <c r="AJ802" s="123"/>
    </row>
    <row r="803" spans="1:36" ht="15.75" customHeight="1" x14ac:dyDescent="0.25">
      <c r="A803" s="59"/>
      <c r="H803" s="59"/>
      <c r="AA803" s="64"/>
      <c r="AJ803" s="123"/>
    </row>
    <row r="804" spans="1:36" ht="15.75" customHeight="1" x14ac:dyDescent="0.25">
      <c r="A804" s="59"/>
      <c r="H804" s="59"/>
      <c r="AA804" s="64"/>
      <c r="AJ804" s="123"/>
    </row>
    <row r="805" spans="1:36" ht="15.75" customHeight="1" x14ac:dyDescent="0.25">
      <c r="A805" s="59"/>
      <c r="H805" s="59"/>
      <c r="AA805" s="64"/>
      <c r="AJ805" s="123"/>
    </row>
    <row r="806" spans="1:36" ht="15.75" customHeight="1" x14ac:dyDescent="0.25">
      <c r="A806" s="59"/>
      <c r="H806" s="59"/>
      <c r="AA806" s="64"/>
      <c r="AJ806" s="123"/>
    </row>
    <row r="807" spans="1:36" ht="15.75" customHeight="1" x14ac:dyDescent="0.25">
      <c r="A807" s="59"/>
      <c r="H807" s="59"/>
      <c r="AA807" s="64"/>
      <c r="AJ807" s="123"/>
    </row>
    <row r="808" spans="1:36" ht="15.75" customHeight="1" x14ac:dyDescent="0.25">
      <c r="A808" s="59"/>
      <c r="H808" s="59"/>
      <c r="AA808" s="64"/>
      <c r="AJ808" s="123"/>
    </row>
    <row r="809" spans="1:36" ht="15.75" customHeight="1" x14ac:dyDescent="0.25">
      <c r="A809" s="59"/>
      <c r="H809" s="59"/>
      <c r="AA809" s="64"/>
      <c r="AJ809" s="123"/>
    </row>
    <row r="810" spans="1:36" ht="15.75" customHeight="1" x14ac:dyDescent="0.25">
      <c r="A810" s="59"/>
      <c r="H810" s="59"/>
      <c r="AA810" s="64"/>
      <c r="AJ810" s="123"/>
    </row>
    <row r="811" spans="1:36" ht="15.75" customHeight="1" x14ac:dyDescent="0.25">
      <c r="A811" s="59"/>
      <c r="H811" s="59"/>
      <c r="AA811" s="64"/>
      <c r="AJ811" s="123"/>
    </row>
    <row r="812" spans="1:36" ht="15.75" customHeight="1" x14ac:dyDescent="0.25">
      <c r="A812" s="59"/>
      <c r="H812" s="59"/>
      <c r="AA812" s="64"/>
      <c r="AJ812" s="123"/>
    </row>
    <row r="813" spans="1:36" ht="15.75" customHeight="1" x14ac:dyDescent="0.25">
      <c r="A813" s="59"/>
      <c r="H813" s="59"/>
      <c r="AA813" s="64"/>
      <c r="AJ813" s="123"/>
    </row>
    <row r="814" spans="1:36" ht="15.75" customHeight="1" x14ac:dyDescent="0.25">
      <c r="A814" s="59"/>
      <c r="H814" s="59"/>
      <c r="AA814" s="64"/>
      <c r="AJ814" s="123"/>
    </row>
    <row r="815" spans="1:36" ht="15.75" customHeight="1" x14ac:dyDescent="0.25">
      <c r="A815" s="59"/>
      <c r="H815" s="59"/>
      <c r="AA815" s="64"/>
      <c r="AJ815" s="123"/>
    </row>
    <row r="816" spans="1:36" ht="15.75" customHeight="1" x14ac:dyDescent="0.25">
      <c r="A816" s="59"/>
      <c r="H816" s="59"/>
      <c r="AA816" s="64"/>
      <c r="AJ816" s="123"/>
    </row>
    <row r="817" spans="1:36" ht="15.75" customHeight="1" x14ac:dyDescent="0.25">
      <c r="A817" s="59"/>
      <c r="H817" s="59"/>
      <c r="AA817" s="64"/>
      <c r="AJ817" s="123"/>
    </row>
    <row r="818" spans="1:36" ht="15.75" customHeight="1" x14ac:dyDescent="0.25">
      <c r="A818" s="59"/>
      <c r="H818" s="59"/>
      <c r="AA818" s="64"/>
      <c r="AJ818" s="123"/>
    </row>
    <row r="819" spans="1:36" ht="15.75" customHeight="1" x14ac:dyDescent="0.25">
      <c r="A819" s="59"/>
      <c r="H819" s="59"/>
      <c r="AA819" s="64"/>
      <c r="AJ819" s="123"/>
    </row>
    <row r="820" spans="1:36" ht="15.75" customHeight="1" x14ac:dyDescent="0.25">
      <c r="A820" s="59"/>
      <c r="H820" s="59"/>
      <c r="AA820" s="64"/>
      <c r="AJ820" s="123"/>
    </row>
    <row r="821" spans="1:36" ht="15.75" customHeight="1" x14ac:dyDescent="0.25">
      <c r="A821" s="59"/>
      <c r="H821" s="59"/>
      <c r="AA821" s="64"/>
      <c r="AJ821" s="123"/>
    </row>
    <row r="822" spans="1:36" ht="15.75" customHeight="1" x14ac:dyDescent="0.25">
      <c r="A822" s="59"/>
      <c r="H822" s="59"/>
      <c r="AA822" s="64"/>
      <c r="AJ822" s="123"/>
    </row>
    <row r="823" spans="1:36" ht="15.75" customHeight="1" x14ac:dyDescent="0.25">
      <c r="A823" s="59"/>
      <c r="H823" s="59"/>
      <c r="AA823" s="64"/>
      <c r="AJ823" s="123"/>
    </row>
    <row r="824" spans="1:36" ht="15.75" customHeight="1" x14ac:dyDescent="0.25">
      <c r="A824" s="59"/>
      <c r="H824" s="59"/>
      <c r="AA824" s="64"/>
      <c r="AJ824" s="123"/>
    </row>
    <row r="825" spans="1:36" ht="15.75" customHeight="1" x14ac:dyDescent="0.25">
      <c r="A825" s="59"/>
      <c r="H825" s="59"/>
      <c r="AA825" s="64"/>
      <c r="AJ825" s="123"/>
    </row>
    <row r="826" spans="1:36" ht="15.75" customHeight="1" x14ac:dyDescent="0.25">
      <c r="A826" s="59"/>
      <c r="H826" s="59"/>
      <c r="AA826" s="64"/>
      <c r="AJ826" s="123"/>
    </row>
    <row r="827" spans="1:36" ht="15.75" customHeight="1" x14ac:dyDescent="0.25">
      <c r="A827" s="59"/>
      <c r="H827" s="59"/>
      <c r="AA827" s="64"/>
      <c r="AJ827" s="123"/>
    </row>
    <row r="828" spans="1:36" ht="15.75" customHeight="1" x14ac:dyDescent="0.25">
      <c r="A828" s="59"/>
      <c r="H828" s="59"/>
      <c r="AA828" s="64"/>
      <c r="AJ828" s="123"/>
    </row>
    <row r="829" spans="1:36" ht="15.75" customHeight="1" x14ac:dyDescent="0.25">
      <c r="A829" s="59"/>
      <c r="H829" s="59"/>
      <c r="AA829" s="64"/>
      <c r="AJ829" s="123"/>
    </row>
    <row r="830" spans="1:36" ht="15.75" customHeight="1" x14ac:dyDescent="0.25">
      <c r="A830" s="59"/>
      <c r="H830" s="59"/>
      <c r="AA830" s="64"/>
      <c r="AJ830" s="123"/>
    </row>
    <row r="831" spans="1:36" ht="15.75" customHeight="1" x14ac:dyDescent="0.25">
      <c r="A831" s="59"/>
      <c r="H831" s="59"/>
      <c r="AA831" s="64"/>
      <c r="AJ831" s="123"/>
    </row>
    <row r="832" spans="1:36" ht="15.75" customHeight="1" x14ac:dyDescent="0.25">
      <c r="A832" s="59"/>
      <c r="H832" s="59"/>
      <c r="AA832" s="64"/>
      <c r="AJ832" s="123"/>
    </row>
    <row r="833" spans="1:36" ht="15.75" customHeight="1" x14ac:dyDescent="0.25">
      <c r="A833" s="59"/>
      <c r="H833" s="59"/>
      <c r="AA833" s="64"/>
      <c r="AJ833" s="123"/>
    </row>
    <row r="834" spans="1:36" ht="15.75" customHeight="1" x14ac:dyDescent="0.25">
      <c r="A834" s="59"/>
      <c r="H834" s="59"/>
      <c r="AA834" s="64"/>
      <c r="AJ834" s="123"/>
    </row>
    <row r="835" spans="1:36" ht="15.75" customHeight="1" x14ac:dyDescent="0.25">
      <c r="A835" s="59"/>
      <c r="H835" s="59"/>
      <c r="AA835" s="64"/>
      <c r="AJ835" s="123"/>
    </row>
    <row r="836" spans="1:36" ht="15.75" customHeight="1" x14ac:dyDescent="0.25">
      <c r="A836" s="59"/>
      <c r="H836" s="59"/>
      <c r="AA836" s="64"/>
      <c r="AJ836" s="123"/>
    </row>
    <row r="837" spans="1:36" ht="15.75" customHeight="1" x14ac:dyDescent="0.25">
      <c r="A837" s="59"/>
      <c r="H837" s="59"/>
      <c r="AA837" s="64"/>
      <c r="AJ837" s="123"/>
    </row>
    <row r="838" spans="1:36" ht="15.75" customHeight="1" x14ac:dyDescent="0.25">
      <c r="A838" s="59"/>
      <c r="H838" s="59"/>
      <c r="AA838" s="64"/>
      <c r="AJ838" s="123"/>
    </row>
    <row r="839" spans="1:36" ht="15.75" customHeight="1" x14ac:dyDescent="0.25">
      <c r="A839" s="59"/>
      <c r="H839" s="59"/>
      <c r="AA839" s="64"/>
      <c r="AJ839" s="123"/>
    </row>
    <row r="840" spans="1:36" ht="15.75" customHeight="1" x14ac:dyDescent="0.25">
      <c r="A840" s="59"/>
      <c r="H840" s="59"/>
      <c r="AA840" s="64"/>
      <c r="AJ840" s="123"/>
    </row>
    <row r="841" spans="1:36" ht="15.75" customHeight="1" x14ac:dyDescent="0.25">
      <c r="A841" s="59"/>
      <c r="H841" s="59"/>
      <c r="AA841" s="64"/>
      <c r="AJ841" s="123"/>
    </row>
    <row r="842" spans="1:36" ht="15.75" customHeight="1" x14ac:dyDescent="0.25">
      <c r="A842" s="59"/>
      <c r="H842" s="59"/>
      <c r="AA842" s="64"/>
      <c r="AJ842" s="123"/>
    </row>
    <row r="843" spans="1:36" ht="15.75" customHeight="1" x14ac:dyDescent="0.25">
      <c r="A843" s="59"/>
      <c r="H843" s="59"/>
      <c r="AA843" s="64"/>
      <c r="AJ843" s="123"/>
    </row>
    <row r="844" spans="1:36" ht="15.75" customHeight="1" x14ac:dyDescent="0.25">
      <c r="A844" s="59"/>
      <c r="H844" s="59"/>
      <c r="AA844" s="64"/>
      <c r="AJ844" s="123"/>
    </row>
    <row r="845" spans="1:36" ht="15.75" customHeight="1" x14ac:dyDescent="0.25">
      <c r="A845" s="59"/>
      <c r="H845" s="59"/>
      <c r="AA845" s="64"/>
      <c r="AJ845" s="123"/>
    </row>
    <row r="846" spans="1:36" ht="15.75" customHeight="1" x14ac:dyDescent="0.25">
      <c r="A846" s="59"/>
      <c r="H846" s="59"/>
      <c r="AA846" s="64"/>
      <c r="AJ846" s="123"/>
    </row>
    <row r="847" spans="1:36" ht="15.75" customHeight="1" x14ac:dyDescent="0.25">
      <c r="A847" s="59"/>
      <c r="H847" s="59"/>
      <c r="AA847" s="64"/>
      <c r="AJ847" s="123"/>
    </row>
    <row r="848" spans="1:36" ht="15.75" customHeight="1" x14ac:dyDescent="0.25">
      <c r="A848" s="59"/>
      <c r="H848" s="59"/>
      <c r="AA848" s="64"/>
      <c r="AJ848" s="123"/>
    </row>
    <row r="849" spans="1:36" ht="15.75" customHeight="1" x14ac:dyDescent="0.25">
      <c r="A849" s="59"/>
      <c r="H849" s="59"/>
      <c r="AA849" s="64"/>
      <c r="AJ849" s="123"/>
    </row>
    <row r="850" spans="1:36" ht="15.75" customHeight="1" x14ac:dyDescent="0.25">
      <c r="A850" s="59"/>
      <c r="H850" s="59"/>
      <c r="AA850" s="64"/>
      <c r="AJ850" s="123"/>
    </row>
    <row r="851" spans="1:36" ht="15.75" customHeight="1" x14ac:dyDescent="0.25">
      <c r="A851" s="59"/>
      <c r="H851" s="59"/>
      <c r="AA851" s="64"/>
      <c r="AJ851" s="123"/>
    </row>
    <row r="852" spans="1:36" ht="15.75" customHeight="1" x14ac:dyDescent="0.25">
      <c r="A852" s="59"/>
      <c r="H852" s="59"/>
      <c r="AA852" s="64"/>
      <c r="AJ852" s="123"/>
    </row>
    <row r="853" spans="1:36" ht="15.75" customHeight="1" x14ac:dyDescent="0.25">
      <c r="A853" s="59"/>
      <c r="H853" s="59"/>
      <c r="AA853" s="64"/>
      <c r="AJ853" s="123"/>
    </row>
    <row r="854" spans="1:36" ht="15.75" customHeight="1" x14ac:dyDescent="0.25">
      <c r="A854" s="59"/>
      <c r="H854" s="59"/>
      <c r="AA854" s="64"/>
      <c r="AJ854" s="123"/>
    </row>
    <row r="855" spans="1:36" ht="15.75" customHeight="1" x14ac:dyDescent="0.25">
      <c r="A855" s="59"/>
      <c r="H855" s="59"/>
      <c r="AA855" s="64"/>
      <c r="AJ855" s="123"/>
    </row>
    <row r="856" spans="1:36" ht="15.75" customHeight="1" x14ac:dyDescent="0.25">
      <c r="A856" s="59"/>
      <c r="H856" s="59"/>
      <c r="AA856" s="64"/>
      <c r="AJ856" s="123"/>
    </row>
    <row r="857" spans="1:36" ht="15.75" customHeight="1" x14ac:dyDescent="0.25">
      <c r="A857" s="59"/>
      <c r="H857" s="59"/>
      <c r="AA857" s="64"/>
      <c r="AJ857" s="123"/>
    </row>
    <row r="858" spans="1:36" ht="15.75" customHeight="1" x14ac:dyDescent="0.25">
      <c r="A858" s="59"/>
      <c r="H858" s="59"/>
      <c r="AA858" s="64"/>
      <c r="AJ858" s="123"/>
    </row>
    <row r="859" spans="1:36" ht="15.75" customHeight="1" x14ac:dyDescent="0.25">
      <c r="A859" s="59"/>
      <c r="H859" s="59"/>
      <c r="AA859" s="64"/>
      <c r="AJ859" s="123"/>
    </row>
    <row r="860" spans="1:36" ht="15.75" customHeight="1" x14ac:dyDescent="0.25">
      <c r="A860" s="59"/>
      <c r="H860" s="59"/>
      <c r="AA860" s="64"/>
      <c r="AJ860" s="123"/>
    </row>
    <row r="861" spans="1:36" ht="15.75" customHeight="1" x14ac:dyDescent="0.25">
      <c r="A861" s="59"/>
      <c r="H861" s="59"/>
      <c r="AA861" s="64"/>
      <c r="AJ861" s="123"/>
    </row>
    <row r="862" spans="1:36" ht="15.75" customHeight="1" x14ac:dyDescent="0.25">
      <c r="A862" s="59"/>
      <c r="H862" s="59"/>
      <c r="AA862" s="64"/>
      <c r="AJ862" s="123"/>
    </row>
    <row r="863" spans="1:36" ht="15.75" customHeight="1" x14ac:dyDescent="0.25">
      <c r="A863" s="59"/>
      <c r="H863" s="59"/>
      <c r="AA863" s="64"/>
      <c r="AJ863" s="123"/>
    </row>
    <row r="864" spans="1:36" ht="15.75" customHeight="1" x14ac:dyDescent="0.25">
      <c r="A864" s="59"/>
      <c r="H864" s="59"/>
      <c r="AA864" s="64"/>
      <c r="AJ864" s="123"/>
    </row>
    <row r="865" spans="1:36" ht="15.75" customHeight="1" x14ac:dyDescent="0.25">
      <c r="A865" s="59"/>
      <c r="H865" s="59"/>
      <c r="AA865" s="64"/>
      <c r="AJ865" s="123"/>
    </row>
    <row r="866" spans="1:36" ht="15.75" customHeight="1" x14ac:dyDescent="0.25">
      <c r="A866" s="59"/>
      <c r="H866" s="59"/>
      <c r="AA866" s="64"/>
      <c r="AJ866" s="123"/>
    </row>
    <row r="867" spans="1:36" ht="15.75" customHeight="1" x14ac:dyDescent="0.25">
      <c r="A867" s="59"/>
      <c r="H867" s="59"/>
      <c r="AA867" s="64"/>
      <c r="AJ867" s="123"/>
    </row>
    <row r="868" spans="1:36" ht="15.75" customHeight="1" x14ac:dyDescent="0.25">
      <c r="A868" s="59"/>
      <c r="H868" s="59"/>
      <c r="AA868" s="64"/>
      <c r="AJ868" s="123"/>
    </row>
    <row r="869" spans="1:36" ht="15.75" customHeight="1" x14ac:dyDescent="0.25">
      <c r="A869" s="59"/>
      <c r="H869" s="59"/>
      <c r="AA869" s="64"/>
      <c r="AJ869" s="123"/>
    </row>
    <row r="870" spans="1:36" ht="15.75" customHeight="1" x14ac:dyDescent="0.25">
      <c r="A870" s="59"/>
      <c r="H870" s="59"/>
      <c r="AA870" s="64"/>
      <c r="AJ870" s="123"/>
    </row>
    <row r="871" spans="1:36" ht="15.75" customHeight="1" x14ac:dyDescent="0.25">
      <c r="A871" s="59"/>
      <c r="H871" s="59"/>
      <c r="AA871" s="64"/>
      <c r="AJ871" s="123"/>
    </row>
    <row r="872" spans="1:36" ht="15.75" customHeight="1" x14ac:dyDescent="0.25">
      <c r="A872" s="59"/>
      <c r="H872" s="59"/>
      <c r="AA872" s="64"/>
      <c r="AJ872" s="123"/>
    </row>
    <row r="873" spans="1:36" ht="15.75" customHeight="1" x14ac:dyDescent="0.25">
      <c r="A873" s="59"/>
      <c r="H873" s="59"/>
      <c r="AA873" s="64"/>
      <c r="AJ873" s="123"/>
    </row>
    <row r="874" spans="1:36" ht="15.75" customHeight="1" x14ac:dyDescent="0.25">
      <c r="A874" s="59"/>
      <c r="H874" s="59"/>
      <c r="AA874" s="64"/>
      <c r="AJ874" s="123"/>
    </row>
    <row r="875" spans="1:36" ht="15.75" customHeight="1" x14ac:dyDescent="0.25">
      <c r="A875" s="59"/>
      <c r="H875" s="59"/>
      <c r="AA875" s="64"/>
      <c r="AJ875" s="123"/>
    </row>
    <row r="876" spans="1:36" ht="15.75" customHeight="1" x14ac:dyDescent="0.25">
      <c r="A876" s="59"/>
      <c r="H876" s="59"/>
      <c r="AA876" s="64"/>
      <c r="AJ876" s="123"/>
    </row>
    <row r="877" spans="1:36" ht="15.75" customHeight="1" x14ac:dyDescent="0.25">
      <c r="A877" s="59"/>
      <c r="H877" s="59"/>
      <c r="AA877" s="64"/>
      <c r="AJ877" s="123"/>
    </row>
    <row r="878" spans="1:36" ht="15.75" customHeight="1" x14ac:dyDescent="0.25">
      <c r="A878" s="59"/>
      <c r="H878" s="59"/>
      <c r="AA878" s="64"/>
      <c r="AJ878" s="123"/>
    </row>
    <row r="879" spans="1:36" ht="15.75" customHeight="1" x14ac:dyDescent="0.25">
      <c r="A879" s="59"/>
      <c r="H879" s="59"/>
      <c r="AA879" s="64"/>
      <c r="AJ879" s="123"/>
    </row>
    <row r="880" spans="1:36" ht="15.75" customHeight="1" x14ac:dyDescent="0.25">
      <c r="A880" s="59"/>
      <c r="H880" s="59"/>
      <c r="AA880" s="64"/>
      <c r="AJ880" s="123"/>
    </row>
    <row r="881" spans="1:36" ht="15.75" customHeight="1" x14ac:dyDescent="0.25">
      <c r="A881" s="59"/>
      <c r="H881" s="59"/>
      <c r="AA881" s="64"/>
      <c r="AJ881" s="123"/>
    </row>
    <row r="882" spans="1:36" ht="15.75" customHeight="1" x14ac:dyDescent="0.25">
      <c r="A882" s="59"/>
      <c r="H882" s="59"/>
      <c r="AA882" s="64"/>
      <c r="AJ882" s="123"/>
    </row>
    <row r="883" spans="1:36" ht="15.75" customHeight="1" x14ac:dyDescent="0.25">
      <c r="A883" s="59"/>
      <c r="H883" s="59"/>
      <c r="AA883" s="64"/>
      <c r="AJ883" s="123"/>
    </row>
    <row r="884" spans="1:36" ht="15.75" customHeight="1" x14ac:dyDescent="0.25">
      <c r="A884" s="59"/>
      <c r="H884" s="59"/>
      <c r="AA884" s="64"/>
      <c r="AJ884" s="123"/>
    </row>
    <row r="885" spans="1:36" ht="15.75" customHeight="1" x14ac:dyDescent="0.25">
      <c r="A885" s="59"/>
      <c r="H885" s="59"/>
      <c r="AA885" s="64"/>
      <c r="AJ885" s="123"/>
    </row>
    <row r="886" spans="1:36" ht="15.75" customHeight="1" x14ac:dyDescent="0.25">
      <c r="A886" s="59"/>
      <c r="H886" s="59"/>
      <c r="AA886" s="64"/>
      <c r="AJ886" s="123"/>
    </row>
    <row r="887" spans="1:36" ht="15.75" customHeight="1" x14ac:dyDescent="0.25">
      <c r="A887" s="59"/>
      <c r="H887" s="59"/>
      <c r="AA887" s="64"/>
      <c r="AJ887" s="123"/>
    </row>
    <row r="888" spans="1:36" ht="15.75" customHeight="1" x14ac:dyDescent="0.25">
      <c r="A888" s="59"/>
      <c r="H888" s="59"/>
      <c r="AA888" s="64"/>
      <c r="AJ888" s="123"/>
    </row>
    <row r="889" spans="1:36" ht="15.75" customHeight="1" x14ac:dyDescent="0.25">
      <c r="A889" s="59"/>
      <c r="H889" s="59"/>
      <c r="AA889" s="64"/>
      <c r="AJ889" s="123"/>
    </row>
    <row r="890" spans="1:36" ht="15.75" customHeight="1" x14ac:dyDescent="0.25">
      <c r="A890" s="59"/>
      <c r="H890" s="59"/>
      <c r="AA890" s="64"/>
      <c r="AJ890" s="123"/>
    </row>
    <row r="891" spans="1:36" ht="15.75" customHeight="1" x14ac:dyDescent="0.25">
      <c r="A891" s="59"/>
      <c r="H891" s="59"/>
      <c r="AA891" s="64"/>
      <c r="AJ891" s="123"/>
    </row>
    <row r="892" spans="1:36" ht="15.75" customHeight="1" x14ac:dyDescent="0.25">
      <c r="A892" s="59"/>
      <c r="H892" s="59"/>
      <c r="AA892" s="64"/>
      <c r="AJ892" s="123"/>
    </row>
    <row r="893" spans="1:36" ht="15.75" customHeight="1" x14ac:dyDescent="0.25">
      <c r="A893" s="59"/>
      <c r="H893" s="59"/>
      <c r="AA893" s="64"/>
      <c r="AJ893" s="123"/>
    </row>
    <row r="894" spans="1:36" ht="15.75" customHeight="1" x14ac:dyDescent="0.25">
      <c r="A894" s="59"/>
      <c r="H894" s="59"/>
      <c r="AA894" s="64"/>
      <c r="AJ894" s="123"/>
    </row>
    <row r="895" spans="1:36" ht="15.75" customHeight="1" x14ac:dyDescent="0.25">
      <c r="A895" s="59"/>
      <c r="H895" s="59"/>
      <c r="AA895" s="64"/>
      <c r="AJ895" s="123"/>
    </row>
    <row r="896" spans="1:36" ht="15.75" customHeight="1" x14ac:dyDescent="0.25">
      <c r="A896" s="59"/>
      <c r="H896" s="59"/>
      <c r="AA896" s="64"/>
      <c r="AJ896" s="123"/>
    </row>
    <row r="897" spans="1:36" ht="15.75" customHeight="1" x14ac:dyDescent="0.25">
      <c r="A897" s="59"/>
      <c r="H897" s="59"/>
      <c r="AA897" s="64"/>
      <c r="AJ897" s="123"/>
    </row>
    <row r="898" spans="1:36" ht="15.75" customHeight="1" x14ac:dyDescent="0.25">
      <c r="A898" s="59"/>
      <c r="H898" s="59"/>
      <c r="AA898" s="64"/>
      <c r="AJ898" s="123"/>
    </row>
    <row r="899" spans="1:36" ht="15.75" customHeight="1" x14ac:dyDescent="0.25">
      <c r="A899" s="59"/>
      <c r="H899" s="59"/>
      <c r="AA899" s="64"/>
      <c r="AJ899" s="123"/>
    </row>
    <row r="900" spans="1:36" ht="15.75" customHeight="1" x14ac:dyDescent="0.25">
      <c r="A900" s="59"/>
      <c r="H900" s="59"/>
      <c r="AA900" s="64"/>
      <c r="AJ900" s="123"/>
    </row>
    <row r="901" spans="1:36" ht="15.75" customHeight="1" x14ac:dyDescent="0.25">
      <c r="A901" s="59"/>
      <c r="H901" s="59"/>
      <c r="AA901" s="64"/>
      <c r="AJ901" s="123"/>
    </row>
    <row r="902" spans="1:36" ht="15.75" customHeight="1" x14ac:dyDescent="0.25">
      <c r="A902" s="59"/>
      <c r="H902" s="59"/>
      <c r="AA902" s="64"/>
      <c r="AJ902" s="123"/>
    </row>
    <row r="903" spans="1:36" ht="15.75" customHeight="1" x14ac:dyDescent="0.25">
      <c r="A903" s="59"/>
      <c r="H903" s="59"/>
      <c r="AA903" s="64"/>
      <c r="AJ903" s="123"/>
    </row>
    <row r="904" spans="1:36" ht="15.75" customHeight="1" x14ac:dyDescent="0.25">
      <c r="A904" s="59"/>
      <c r="H904" s="59"/>
      <c r="AA904" s="64"/>
      <c r="AJ904" s="123"/>
    </row>
    <row r="905" spans="1:36" ht="15.75" customHeight="1" x14ac:dyDescent="0.25">
      <c r="A905" s="59"/>
      <c r="H905" s="59"/>
      <c r="AA905" s="64"/>
      <c r="AJ905" s="123"/>
    </row>
    <row r="906" spans="1:36" ht="15.75" customHeight="1" x14ac:dyDescent="0.25">
      <c r="A906" s="59"/>
      <c r="H906" s="59"/>
      <c r="AA906" s="64"/>
      <c r="AJ906" s="123"/>
    </row>
    <row r="907" spans="1:36" ht="15.75" customHeight="1" x14ac:dyDescent="0.25">
      <c r="A907" s="59"/>
      <c r="H907" s="59"/>
      <c r="AA907" s="64"/>
      <c r="AJ907" s="123"/>
    </row>
    <row r="908" spans="1:36" ht="15.75" customHeight="1" x14ac:dyDescent="0.25">
      <c r="A908" s="59"/>
      <c r="H908" s="59"/>
      <c r="AA908" s="64"/>
      <c r="AJ908" s="123"/>
    </row>
    <row r="909" spans="1:36" ht="15.75" customHeight="1" x14ac:dyDescent="0.25">
      <c r="A909" s="59"/>
      <c r="H909" s="59"/>
      <c r="AA909" s="64"/>
      <c r="AJ909" s="123"/>
    </row>
    <row r="910" spans="1:36" ht="15.75" customHeight="1" x14ac:dyDescent="0.25">
      <c r="A910" s="59"/>
      <c r="H910" s="59"/>
      <c r="AA910" s="64"/>
      <c r="AJ910" s="123"/>
    </row>
    <row r="911" spans="1:36" ht="15.75" customHeight="1" x14ac:dyDescent="0.25">
      <c r="A911" s="59"/>
      <c r="H911" s="59"/>
      <c r="AA911" s="64"/>
      <c r="AJ911" s="123"/>
    </row>
    <row r="912" spans="1:36" ht="15.75" customHeight="1" x14ac:dyDescent="0.25">
      <c r="A912" s="59"/>
      <c r="H912" s="59"/>
      <c r="AA912" s="64"/>
      <c r="AJ912" s="123"/>
    </row>
    <row r="913" spans="1:36" ht="15.75" customHeight="1" x14ac:dyDescent="0.25">
      <c r="A913" s="59"/>
      <c r="H913" s="59"/>
      <c r="AA913" s="64"/>
      <c r="AJ913" s="123"/>
    </row>
    <row r="914" spans="1:36" ht="15.75" customHeight="1" x14ac:dyDescent="0.25">
      <c r="A914" s="59"/>
      <c r="H914" s="59"/>
      <c r="AA914" s="64"/>
      <c r="AJ914" s="123"/>
    </row>
    <row r="915" spans="1:36" ht="15.75" customHeight="1" x14ac:dyDescent="0.25">
      <c r="A915" s="59"/>
      <c r="H915" s="59"/>
      <c r="AA915" s="64"/>
      <c r="AJ915" s="123"/>
    </row>
    <row r="916" spans="1:36" ht="15.75" customHeight="1" x14ac:dyDescent="0.25">
      <c r="A916" s="59"/>
      <c r="H916" s="59"/>
      <c r="AA916" s="64"/>
      <c r="AJ916" s="123"/>
    </row>
    <row r="917" spans="1:36" ht="15.75" customHeight="1" x14ac:dyDescent="0.25">
      <c r="A917" s="59"/>
      <c r="H917" s="59"/>
      <c r="AA917" s="64"/>
      <c r="AJ917" s="123"/>
    </row>
    <row r="918" spans="1:36" ht="15.75" customHeight="1" x14ac:dyDescent="0.25">
      <c r="A918" s="59"/>
      <c r="H918" s="59"/>
      <c r="AA918" s="64"/>
      <c r="AJ918" s="123"/>
    </row>
    <row r="919" spans="1:36" ht="15.75" customHeight="1" x14ac:dyDescent="0.25">
      <c r="A919" s="59"/>
      <c r="H919" s="59"/>
      <c r="AA919" s="64"/>
      <c r="AJ919" s="123"/>
    </row>
    <row r="920" spans="1:36" ht="15.75" customHeight="1" x14ac:dyDescent="0.25">
      <c r="A920" s="59"/>
      <c r="H920" s="59"/>
      <c r="AA920" s="64"/>
      <c r="AJ920" s="123"/>
    </row>
    <row r="921" spans="1:36" ht="15.75" customHeight="1" x14ac:dyDescent="0.25">
      <c r="A921" s="59"/>
      <c r="H921" s="59"/>
      <c r="AA921" s="64"/>
      <c r="AJ921" s="123"/>
    </row>
    <row r="922" spans="1:36" ht="15.75" customHeight="1" x14ac:dyDescent="0.25">
      <c r="A922" s="59"/>
      <c r="H922" s="59"/>
      <c r="AA922" s="64"/>
      <c r="AJ922" s="123"/>
    </row>
    <row r="923" spans="1:36" ht="15.75" customHeight="1" x14ac:dyDescent="0.25">
      <c r="A923" s="59"/>
      <c r="H923" s="59"/>
      <c r="AA923" s="64"/>
      <c r="AJ923" s="123"/>
    </row>
    <row r="924" spans="1:36" ht="15.75" customHeight="1" x14ac:dyDescent="0.25">
      <c r="A924" s="59"/>
      <c r="H924" s="59"/>
      <c r="AA924" s="64"/>
      <c r="AJ924" s="123"/>
    </row>
    <row r="925" spans="1:36" ht="15.75" customHeight="1" x14ac:dyDescent="0.25">
      <c r="A925" s="59"/>
      <c r="H925" s="59"/>
      <c r="AA925" s="64"/>
      <c r="AJ925" s="123"/>
    </row>
    <row r="926" spans="1:36" ht="15.75" customHeight="1" x14ac:dyDescent="0.25">
      <c r="A926" s="59"/>
      <c r="H926" s="59"/>
      <c r="AA926" s="64"/>
      <c r="AJ926" s="123"/>
    </row>
    <row r="927" spans="1:36" ht="15.75" customHeight="1" x14ac:dyDescent="0.25">
      <c r="A927" s="59"/>
      <c r="H927" s="59"/>
      <c r="AA927" s="64"/>
      <c r="AJ927" s="123"/>
    </row>
    <row r="928" spans="1:36" ht="15.75" customHeight="1" x14ac:dyDescent="0.25">
      <c r="A928" s="59"/>
      <c r="H928" s="59"/>
      <c r="AA928" s="64"/>
      <c r="AJ928" s="123"/>
    </row>
    <row r="929" spans="1:36" ht="15.75" customHeight="1" x14ac:dyDescent="0.25">
      <c r="A929" s="59"/>
      <c r="H929" s="59"/>
      <c r="AA929" s="64"/>
      <c r="AJ929" s="123"/>
    </row>
    <row r="930" spans="1:36" ht="15.75" customHeight="1" x14ac:dyDescent="0.25">
      <c r="A930" s="59"/>
      <c r="H930" s="59"/>
      <c r="AA930" s="64"/>
      <c r="AJ930" s="123"/>
    </row>
    <row r="931" spans="1:36" ht="15.75" customHeight="1" x14ac:dyDescent="0.25">
      <c r="A931" s="59"/>
      <c r="H931" s="59"/>
      <c r="AA931" s="64"/>
      <c r="AJ931" s="123"/>
    </row>
    <row r="932" spans="1:36" ht="15.75" customHeight="1" x14ac:dyDescent="0.25">
      <c r="A932" s="59"/>
      <c r="H932" s="59"/>
      <c r="AA932" s="64"/>
      <c r="AJ932" s="123"/>
    </row>
    <row r="933" spans="1:36" ht="15.75" customHeight="1" x14ac:dyDescent="0.25">
      <c r="A933" s="59"/>
      <c r="H933" s="59"/>
      <c r="AA933" s="64"/>
      <c r="AJ933" s="123"/>
    </row>
    <row r="934" spans="1:36" ht="15.75" customHeight="1" x14ac:dyDescent="0.25">
      <c r="A934" s="59"/>
      <c r="H934" s="59"/>
      <c r="AA934" s="64"/>
      <c r="AJ934" s="123"/>
    </row>
    <row r="935" spans="1:36" ht="15.75" customHeight="1" x14ac:dyDescent="0.25">
      <c r="A935" s="59"/>
      <c r="H935" s="59"/>
      <c r="AA935" s="64"/>
      <c r="AJ935" s="123"/>
    </row>
    <row r="936" spans="1:36" ht="15.75" customHeight="1" x14ac:dyDescent="0.25">
      <c r="A936" s="59"/>
      <c r="H936" s="59"/>
      <c r="AA936" s="64"/>
      <c r="AJ936" s="123"/>
    </row>
    <row r="937" spans="1:36" ht="15.75" customHeight="1" x14ac:dyDescent="0.25">
      <c r="A937" s="59"/>
      <c r="H937" s="59"/>
      <c r="AA937" s="64"/>
      <c r="AJ937" s="123"/>
    </row>
    <row r="938" spans="1:36" ht="15.75" customHeight="1" x14ac:dyDescent="0.25">
      <c r="A938" s="59"/>
      <c r="H938" s="59"/>
      <c r="AA938" s="64"/>
      <c r="AJ938" s="123"/>
    </row>
    <row r="939" spans="1:36" ht="15.75" customHeight="1" x14ac:dyDescent="0.25">
      <c r="A939" s="59"/>
      <c r="H939" s="59"/>
      <c r="AA939" s="64"/>
      <c r="AJ939" s="123"/>
    </row>
    <row r="940" spans="1:36" ht="15.75" customHeight="1" x14ac:dyDescent="0.25">
      <c r="A940" s="59"/>
      <c r="H940" s="59"/>
      <c r="AA940" s="64"/>
      <c r="AJ940" s="123"/>
    </row>
    <row r="941" spans="1:36" ht="15.75" customHeight="1" x14ac:dyDescent="0.25">
      <c r="A941" s="59"/>
      <c r="H941" s="59"/>
      <c r="AA941" s="64"/>
      <c r="AJ941" s="123"/>
    </row>
    <row r="942" spans="1:36" ht="15.75" customHeight="1" x14ac:dyDescent="0.25">
      <c r="A942" s="59"/>
      <c r="H942" s="59"/>
      <c r="AA942" s="64"/>
      <c r="AJ942" s="123"/>
    </row>
    <row r="943" spans="1:36" ht="15.75" customHeight="1" x14ac:dyDescent="0.25">
      <c r="A943" s="59"/>
      <c r="H943" s="59"/>
      <c r="AA943" s="64"/>
      <c r="AJ943" s="123"/>
    </row>
    <row r="944" spans="1:36" ht="15.75" customHeight="1" x14ac:dyDescent="0.25">
      <c r="A944" s="59"/>
      <c r="H944" s="59"/>
      <c r="AA944" s="64"/>
      <c r="AJ944" s="123"/>
    </row>
    <row r="945" spans="1:36" ht="15.75" customHeight="1" x14ac:dyDescent="0.25">
      <c r="A945" s="59"/>
      <c r="H945" s="59"/>
      <c r="AA945" s="64"/>
      <c r="AJ945" s="123"/>
    </row>
    <row r="946" spans="1:36" ht="15.75" customHeight="1" x14ac:dyDescent="0.25">
      <c r="A946" s="59"/>
      <c r="H946" s="59"/>
      <c r="AA946" s="64"/>
      <c r="AJ946" s="123"/>
    </row>
    <row r="947" spans="1:36" ht="15.75" customHeight="1" x14ac:dyDescent="0.25">
      <c r="A947" s="59"/>
      <c r="H947" s="59"/>
      <c r="AA947" s="64"/>
      <c r="AJ947" s="123"/>
    </row>
    <row r="948" spans="1:36" ht="15.75" customHeight="1" x14ac:dyDescent="0.25">
      <c r="A948" s="59"/>
      <c r="H948" s="59"/>
      <c r="AA948" s="64"/>
      <c r="AJ948" s="123"/>
    </row>
    <row r="949" spans="1:36" ht="15.75" customHeight="1" x14ac:dyDescent="0.25">
      <c r="A949" s="59"/>
      <c r="H949" s="59"/>
      <c r="AA949" s="64"/>
      <c r="AJ949" s="123"/>
    </row>
    <row r="950" spans="1:36" ht="15.75" customHeight="1" x14ac:dyDescent="0.25">
      <c r="A950" s="59"/>
      <c r="H950" s="59"/>
      <c r="AA950" s="64"/>
      <c r="AJ950" s="123"/>
    </row>
    <row r="951" spans="1:36" ht="15.75" customHeight="1" x14ac:dyDescent="0.25">
      <c r="A951" s="59"/>
      <c r="H951" s="59"/>
      <c r="AA951" s="64"/>
      <c r="AJ951" s="123"/>
    </row>
    <row r="952" spans="1:36" ht="15.75" customHeight="1" x14ac:dyDescent="0.25">
      <c r="A952" s="59"/>
      <c r="H952" s="59"/>
      <c r="AA952" s="64"/>
      <c r="AJ952" s="123"/>
    </row>
    <row r="953" spans="1:36" ht="15.75" customHeight="1" x14ac:dyDescent="0.25">
      <c r="A953" s="59"/>
      <c r="H953" s="59"/>
      <c r="AA953" s="64"/>
      <c r="AJ953" s="123"/>
    </row>
    <row r="954" spans="1:36" ht="15.75" customHeight="1" x14ac:dyDescent="0.25">
      <c r="A954" s="59"/>
      <c r="H954" s="59"/>
      <c r="AA954" s="64"/>
      <c r="AJ954" s="123"/>
    </row>
    <row r="955" spans="1:36" ht="15.75" customHeight="1" x14ac:dyDescent="0.25">
      <c r="A955" s="59"/>
      <c r="H955" s="59"/>
      <c r="AA955" s="64"/>
      <c r="AJ955" s="123"/>
    </row>
    <row r="956" spans="1:36" ht="15.75" customHeight="1" x14ac:dyDescent="0.25">
      <c r="A956" s="59"/>
      <c r="H956" s="59"/>
      <c r="AA956" s="64"/>
      <c r="AJ956" s="123"/>
    </row>
    <row r="957" spans="1:36" ht="15.75" customHeight="1" x14ac:dyDescent="0.25">
      <c r="A957" s="59"/>
      <c r="H957" s="59"/>
      <c r="AA957" s="64"/>
      <c r="AJ957" s="123"/>
    </row>
    <row r="958" spans="1:36" ht="15.75" customHeight="1" x14ac:dyDescent="0.25">
      <c r="A958" s="59"/>
      <c r="H958" s="59"/>
      <c r="AA958" s="64"/>
      <c r="AJ958" s="123"/>
    </row>
    <row r="959" spans="1:36" ht="15.75" customHeight="1" x14ac:dyDescent="0.25">
      <c r="A959" s="59"/>
      <c r="H959" s="59"/>
      <c r="AA959" s="64"/>
      <c r="AJ959" s="123"/>
    </row>
    <row r="960" spans="1:36" ht="15.75" customHeight="1" x14ac:dyDescent="0.25">
      <c r="A960" s="59"/>
      <c r="H960" s="59"/>
      <c r="AA960" s="64"/>
      <c r="AJ960" s="123"/>
    </row>
    <row r="961" spans="1:36" ht="15.75" customHeight="1" x14ac:dyDescent="0.25">
      <c r="A961" s="59"/>
      <c r="H961" s="59"/>
      <c r="AA961" s="64"/>
      <c r="AJ961" s="123"/>
    </row>
    <row r="962" spans="1:36" ht="15.75" customHeight="1" x14ac:dyDescent="0.25">
      <c r="A962" s="59"/>
      <c r="H962" s="59"/>
      <c r="AA962" s="64"/>
      <c r="AJ962" s="123"/>
    </row>
    <row r="963" spans="1:36" ht="15.75" customHeight="1" x14ac:dyDescent="0.25">
      <c r="A963" s="59"/>
      <c r="H963" s="59"/>
      <c r="AA963" s="64"/>
      <c r="AJ963" s="123"/>
    </row>
    <row r="964" spans="1:36" ht="15.75" customHeight="1" x14ac:dyDescent="0.25">
      <c r="A964" s="59"/>
      <c r="H964" s="59"/>
      <c r="AA964" s="64"/>
      <c r="AJ964" s="123"/>
    </row>
    <row r="965" spans="1:36" ht="15.75" customHeight="1" x14ac:dyDescent="0.25">
      <c r="A965" s="59"/>
      <c r="H965" s="59"/>
      <c r="AA965" s="64"/>
      <c r="AJ965" s="123"/>
    </row>
    <row r="966" spans="1:36" ht="15.75" customHeight="1" x14ac:dyDescent="0.25">
      <c r="A966" s="59"/>
      <c r="H966" s="59"/>
      <c r="AA966" s="64"/>
      <c r="AJ966" s="123"/>
    </row>
    <row r="967" spans="1:36" ht="15.75" customHeight="1" x14ac:dyDescent="0.25">
      <c r="A967" s="59"/>
      <c r="H967" s="59"/>
      <c r="AA967" s="64"/>
      <c r="AJ967" s="123"/>
    </row>
    <row r="968" spans="1:36" ht="15.75" customHeight="1" x14ac:dyDescent="0.25">
      <c r="A968" s="59"/>
      <c r="H968" s="59"/>
      <c r="AA968" s="64"/>
      <c r="AJ968" s="123"/>
    </row>
    <row r="969" spans="1:36" ht="15.75" customHeight="1" x14ac:dyDescent="0.25">
      <c r="A969" s="59"/>
      <c r="H969" s="59"/>
      <c r="AA969" s="64"/>
      <c r="AJ969" s="123"/>
    </row>
    <row r="970" spans="1:36" ht="15.75" customHeight="1" x14ac:dyDescent="0.25">
      <c r="A970" s="59"/>
      <c r="H970" s="59"/>
      <c r="AA970" s="64"/>
      <c r="AJ970" s="123"/>
    </row>
    <row r="971" spans="1:36" ht="15.75" customHeight="1" x14ac:dyDescent="0.25">
      <c r="A971" s="59"/>
      <c r="H971" s="59"/>
      <c r="AA971" s="64"/>
      <c r="AJ971" s="123"/>
    </row>
    <row r="972" spans="1:36" ht="15.75" customHeight="1" x14ac:dyDescent="0.25">
      <c r="A972" s="59"/>
      <c r="H972" s="59"/>
      <c r="AA972" s="64"/>
      <c r="AJ972" s="123"/>
    </row>
    <row r="973" spans="1:36" ht="15.75" customHeight="1" x14ac:dyDescent="0.25">
      <c r="A973" s="59"/>
      <c r="H973" s="59"/>
      <c r="AA973" s="64"/>
      <c r="AJ973" s="123"/>
    </row>
    <row r="974" spans="1:36" ht="15.75" customHeight="1" x14ac:dyDescent="0.25">
      <c r="A974" s="59"/>
      <c r="H974" s="59"/>
      <c r="AA974" s="64"/>
      <c r="AJ974" s="123"/>
    </row>
    <row r="975" spans="1:36" ht="15.75" customHeight="1" x14ac:dyDescent="0.25">
      <c r="A975" s="59"/>
      <c r="H975" s="59"/>
      <c r="AA975" s="64"/>
      <c r="AJ975" s="123"/>
    </row>
    <row r="976" spans="1:36" ht="15.75" customHeight="1" x14ac:dyDescent="0.25">
      <c r="A976" s="59"/>
      <c r="H976" s="59"/>
      <c r="AA976" s="64"/>
      <c r="AJ976" s="123"/>
    </row>
    <row r="977" spans="1:36" ht="15.75" customHeight="1" x14ac:dyDescent="0.25">
      <c r="A977" s="59"/>
      <c r="H977" s="59"/>
      <c r="AA977" s="64"/>
      <c r="AJ977" s="123"/>
    </row>
    <row r="978" spans="1:36" ht="15.75" customHeight="1" x14ac:dyDescent="0.25">
      <c r="A978" s="59"/>
      <c r="H978" s="59"/>
      <c r="AA978" s="64"/>
      <c r="AJ978" s="123"/>
    </row>
    <row r="979" spans="1:36" ht="15.75" customHeight="1" x14ac:dyDescent="0.25">
      <c r="A979" s="59"/>
      <c r="H979" s="59"/>
      <c r="AA979" s="64"/>
      <c r="AJ979" s="123"/>
    </row>
    <row r="980" spans="1:36" ht="15.75" customHeight="1" x14ac:dyDescent="0.25">
      <c r="A980" s="59"/>
      <c r="H980" s="59"/>
      <c r="AA980" s="64"/>
      <c r="AJ980" s="123"/>
    </row>
    <row r="981" spans="1:36" ht="15.75" customHeight="1" x14ac:dyDescent="0.25">
      <c r="A981" s="59"/>
      <c r="H981" s="59"/>
      <c r="AA981" s="64"/>
      <c r="AJ981" s="123"/>
    </row>
    <row r="982" spans="1:36" ht="15.75" customHeight="1" x14ac:dyDescent="0.25">
      <c r="A982" s="59"/>
      <c r="H982" s="59"/>
      <c r="AA982" s="64"/>
      <c r="AJ982" s="123"/>
    </row>
    <row r="983" spans="1:36" ht="15.75" customHeight="1" x14ac:dyDescent="0.25">
      <c r="A983" s="59"/>
      <c r="H983" s="59"/>
      <c r="AA983" s="64"/>
      <c r="AJ983" s="123"/>
    </row>
    <row r="984" spans="1:36" ht="15.75" customHeight="1" x14ac:dyDescent="0.25">
      <c r="A984" s="59"/>
      <c r="H984" s="59"/>
      <c r="AA984" s="64"/>
      <c r="AJ984" s="123"/>
    </row>
    <row r="985" spans="1:36" ht="15.75" customHeight="1" x14ac:dyDescent="0.25">
      <c r="A985" s="59"/>
      <c r="H985" s="59"/>
      <c r="AA985" s="64"/>
      <c r="AJ985" s="123"/>
    </row>
    <row r="986" spans="1:36" ht="15.75" customHeight="1" x14ac:dyDescent="0.25">
      <c r="A986" s="59"/>
      <c r="H986" s="59"/>
      <c r="AA986" s="64"/>
      <c r="AJ986" s="123"/>
    </row>
    <row r="987" spans="1:36" ht="15.75" customHeight="1" x14ac:dyDescent="0.25">
      <c r="A987" s="59"/>
      <c r="H987" s="59"/>
      <c r="AA987" s="64"/>
      <c r="AJ987" s="123"/>
    </row>
    <row r="988" spans="1:36" ht="15.75" customHeight="1" x14ac:dyDescent="0.25">
      <c r="A988" s="59"/>
      <c r="H988" s="59"/>
      <c r="AA988" s="64"/>
      <c r="AJ988" s="123"/>
    </row>
    <row r="989" spans="1:36" ht="15.75" customHeight="1" x14ac:dyDescent="0.25">
      <c r="A989" s="59"/>
      <c r="H989" s="59"/>
      <c r="AA989" s="64"/>
      <c r="AJ989" s="123"/>
    </row>
    <row r="990" spans="1:36" ht="15.75" customHeight="1" x14ac:dyDescent="0.25">
      <c r="A990" s="59"/>
      <c r="H990" s="59"/>
      <c r="AA990" s="64"/>
      <c r="AJ990" s="123"/>
    </row>
    <row r="991" spans="1:36" ht="15.75" customHeight="1" x14ac:dyDescent="0.25">
      <c r="A991" s="59"/>
      <c r="H991" s="59"/>
      <c r="AA991" s="64"/>
      <c r="AJ991" s="123"/>
    </row>
    <row r="992" spans="1:36" ht="15.75" customHeight="1" x14ac:dyDescent="0.25">
      <c r="A992" s="59"/>
      <c r="H992" s="59"/>
      <c r="AA992" s="64"/>
      <c r="AJ992" s="123"/>
    </row>
    <row r="993" spans="1:36" ht="15.75" customHeight="1" x14ac:dyDescent="0.25">
      <c r="A993" s="59"/>
      <c r="H993" s="59"/>
      <c r="AA993" s="64"/>
      <c r="AJ993" s="123"/>
    </row>
    <row r="994" spans="1:36" ht="15.75" customHeight="1" x14ac:dyDescent="0.25">
      <c r="A994" s="59"/>
      <c r="H994" s="59"/>
      <c r="AA994" s="64"/>
      <c r="AJ994" s="123"/>
    </row>
    <row r="995" spans="1:36" ht="15.75" customHeight="1" x14ac:dyDescent="0.25">
      <c r="A995" s="59"/>
      <c r="H995" s="59"/>
      <c r="AA995" s="64"/>
      <c r="AJ995" s="123"/>
    </row>
    <row r="996" spans="1:36" ht="15.75" customHeight="1" x14ac:dyDescent="0.25">
      <c r="A996" s="59"/>
      <c r="H996" s="59"/>
      <c r="AA996" s="64"/>
      <c r="AJ996" s="123"/>
    </row>
    <row r="997" spans="1:36" ht="15.75" customHeight="1" x14ac:dyDescent="0.25">
      <c r="A997" s="59"/>
      <c r="H997" s="59"/>
      <c r="AA997" s="64"/>
      <c r="AJ997" s="123"/>
    </row>
    <row r="998" spans="1:36" ht="15.75" customHeight="1" x14ac:dyDescent="0.25">
      <c r="A998" s="59"/>
      <c r="H998" s="59"/>
      <c r="AA998" s="64"/>
      <c r="AJ998" s="123"/>
    </row>
    <row r="999" spans="1:36" ht="15.75" customHeight="1" x14ac:dyDescent="0.25">
      <c r="A999" s="59"/>
      <c r="H999" s="59"/>
      <c r="AA999" s="64"/>
      <c r="AJ999" s="123"/>
    </row>
    <row r="1000" spans="1:36" ht="15.75" customHeight="1" x14ac:dyDescent="0.25">
      <c r="A1000" s="59"/>
      <c r="H1000" s="59"/>
      <c r="AA1000" s="64"/>
      <c r="AJ1000" s="123"/>
    </row>
    <row r="1001" spans="1:36" ht="15.75" customHeight="1" x14ac:dyDescent="0.25">
      <c r="A1001" s="59"/>
      <c r="H1001" s="59"/>
      <c r="AA1001" s="64"/>
      <c r="AJ1001" s="123"/>
    </row>
    <row r="1002" spans="1:36" ht="15.75" customHeight="1" x14ac:dyDescent="0.25">
      <c r="A1002" s="59"/>
      <c r="H1002" s="59"/>
      <c r="AA1002" s="64"/>
      <c r="AJ1002" s="123"/>
    </row>
    <row r="1003" spans="1:36" ht="15.75" customHeight="1" x14ac:dyDescent="0.25">
      <c r="A1003" s="59"/>
      <c r="H1003" s="59"/>
      <c r="AA1003" s="64"/>
      <c r="AJ1003" s="123"/>
    </row>
    <row r="1004" spans="1:36" ht="15.75" customHeight="1" x14ac:dyDescent="0.25">
      <c r="A1004" s="59"/>
      <c r="H1004" s="59"/>
      <c r="AA1004" s="64"/>
      <c r="AJ1004" s="123"/>
    </row>
    <row r="1005" spans="1:36" ht="15.75" customHeight="1" x14ac:dyDescent="0.25">
      <c r="A1005" s="59"/>
      <c r="H1005" s="59"/>
      <c r="AA1005" s="64"/>
      <c r="AJ1005" s="123"/>
    </row>
    <row r="1006" spans="1:36" ht="15.75" customHeight="1" x14ac:dyDescent="0.25">
      <c r="A1006" s="59"/>
      <c r="H1006" s="59"/>
      <c r="AA1006" s="64"/>
      <c r="AJ1006" s="123"/>
    </row>
    <row r="1007" spans="1:36" ht="15.75" customHeight="1" x14ac:dyDescent="0.25">
      <c r="A1007" s="59"/>
      <c r="H1007" s="59"/>
      <c r="AA1007" s="64"/>
      <c r="AJ1007" s="123"/>
    </row>
    <row r="1008" spans="1:36" ht="15.75" customHeight="1" x14ac:dyDescent="0.25">
      <c r="A1008" s="59"/>
      <c r="H1008" s="59"/>
      <c r="AA1008" s="64"/>
      <c r="AJ1008" s="123"/>
    </row>
    <row r="1009" spans="1:36" ht="15.75" customHeight="1" x14ac:dyDescent="0.25">
      <c r="A1009" s="59"/>
      <c r="H1009" s="59"/>
      <c r="AA1009" s="64"/>
      <c r="AJ1009" s="123"/>
    </row>
    <row r="1010" spans="1:36" ht="15.75" customHeight="1" x14ac:dyDescent="0.25">
      <c r="A1010" s="59"/>
      <c r="H1010" s="59"/>
      <c r="AA1010" s="64"/>
      <c r="AJ1010" s="123"/>
    </row>
    <row r="1011" spans="1:36" ht="15.75" customHeight="1" x14ac:dyDescent="0.25">
      <c r="A1011" s="59"/>
      <c r="H1011" s="59"/>
      <c r="AA1011" s="64"/>
      <c r="AJ1011" s="123"/>
    </row>
    <row r="1012" spans="1:36" ht="15.75" customHeight="1" x14ac:dyDescent="0.25">
      <c r="A1012" s="59"/>
      <c r="H1012" s="59"/>
      <c r="AA1012" s="64"/>
      <c r="AJ1012" s="123"/>
    </row>
    <row r="1013" spans="1:36" ht="15.75" customHeight="1" x14ac:dyDescent="0.25">
      <c r="A1013" s="59"/>
      <c r="H1013" s="59"/>
      <c r="AA1013" s="64"/>
      <c r="AJ1013" s="123"/>
    </row>
    <row r="1014" spans="1:36" ht="15.75" customHeight="1" x14ac:dyDescent="0.25">
      <c r="A1014" s="59"/>
      <c r="H1014" s="59"/>
      <c r="AA1014" s="64"/>
      <c r="AJ1014" s="123"/>
    </row>
    <row r="1015" spans="1:36" ht="15.75" customHeight="1" x14ac:dyDescent="0.25">
      <c r="A1015" s="59"/>
      <c r="H1015" s="59"/>
      <c r="AA1015" s="64"/>
      <c r="AJ1015" s="123"/>
    </row>
    <row r="1016" spans="1:36" ht="15.75" customHeight="1" x14ac:dyDescent="0.25">
      <c r="A1016" s="59"/>
      <c r="H1016" s="59"/>
      <c r="AA1016" s="64"/>
      <c r="AJ1016" s="123"/>
    </row>
    <row r="1017" spans="1:36" ht="15.75" customHeight="1" x14ac:dyDescent="0.25">
      <c r="A1017" s="59"/>
      <c r="H1017" s="59"/>
      <c r="AA1017" s="64"/>
      <c r="AJ1017" s="123"/>
    </row>
    <row r="1018" spans="1:36" ht="15.75" customHeight="1" x14ac:dyDescent="0.25">
      <c r="A1018" s="59"/>
      <c r="H1018" s="59"/>
      <c r="AA1018" s="64"/>
      <c r="AJ1018" s="123"/>
    </row>
    <row r="1019" spans="1:36" ht="15.75" customHeight="1" x14ac:dyDescent="0.25">
      <c r="A1019" s="59"/>
      <c r="H1019" s="59"/>
      <c r="AA1019" s="64"/>
      <c r="AJ1019" s="123"/>
    </row>
    <row r="1020" spans="1:36" ht="15.75" customHeight="1" x14ac:dyDescent="0.25">
      <c r="A1020" s="59"/>
      <c r="H1020" s="59"/>
      <c r="AA1020" s="64"/>
      <c r="AJ1020" s="123"/>
    </row>
    <row r="1021" spans="1:36" ht="15.75" customHeight="1" x14ac:dyDescent="0.25">
      <c r="A1021" s="59"/>
      <c r="H1021" s="59"/>
      <c r="AA1021" s="64"/>
      <c r="AJ1021" s="123"/>
    </row>
    <row r="1022" spans="1:36" ht="15.75" customHeight="1" x14ac:dyDescent="0.25">
      <c r="A1022" s="59"/>
      <c r="H1022" s="59"/>
      <c r="AA1022" s="64"/>
      <c r="AJ1022" s="123"/>
    </row>
    <row r="1023" spans="1:36" ht="15.75" customHeight="1" x14ac:dyDescent="0.25">
      <c r="A1023" s="59"/>
      <c r="H1023" s="59"/>
      <c r="AA1023" s="64"/>
      <c r="AJ1023" s="123"/>
    </row>
    <row r="1024" spans="1:36" ht="15.75" customHeight="1" x14ac:dyDescent="0.25">
      <c r="A1024" s="59"/>
      <c r="H1024" s="59"/>
      <c r="AA1024" s="64"/>
      <c r="AJ1024" s="123"/>
    </row>
    <row r="1025" spans="1:36" ht="15.75" customHeight="1" x14ac:dyDescent="0.25">
      <c r="A1025" s="59"/>
      <c r="H1025" s="59"/>
      <c r="AA1025" s="64"/>
      <c r="AJ1025" s="123"/>
    </row>
    <row r="1026" spans="1:36" ht="15.75" customHeight="1" x14ac:dyDescent="0.25">
      <c r="A1026" s="59"/>
      <c r="H1026" s="59"/>
      <c r="AA1026" s="64"/>
      <c r="AJ1026" s="123"/>
    </row>
    <row r="1027" spans="1:36" ht="15.75" customHeight="1" x14ac:dyDescent="0.25">
      <c r="A1027" s="59"/>
      <c r="H1027" s="59"/>
      <c r="AA1027" s="64"/>
      <c r="AJ1027" s="123"/>
    </row>
    <row r="1028" spans="1:36" ht="15.75" customHeight="1" x14ac:dyDescent="0.25">
      <c r="A1028" s="59"/>
      <c r="H1028" s="59"/>
      <c r="AA1028" s="64"/>
      <c r="AJ1028" s="123"/>
    </row>
    <row r="1029" spans="1:36" ht="15.75" customHeight="1" x14ac:dyDescent="0.25">
      <c r="A1029" s="59"/>
      <c r="H1029" s="59"/>
      <c r="AA1029" s="64"/>
      <c r="AJ1029" s="123"/>
    </row>
    <row r="1030" spans="1:36" ht="15.75" customHeight="1" x14ac:dyDescent="0.25">
      <c r="A1030" s="59"/>
      <c r="H1030" s="59"/>
      <c r="AA1030" s="64"/>
      <c r="AJ1030" s="123"/>
    </row>
    <row r="1031" spans="1:36" ht="15.75" customHeight="1" x14ac:dyDescent="0.25">
      <c r="A1031" s="59"/>
      <c r="H1031" s="59"/>
      <c r="AA1031" s="64"/>
      <c r="AJ1031" s="123"/>
    </row>
    <row r="1032" spans="1:36" ht="15.75" customHeight="1" x14ac:dyDescent="0.25">
      <c r="A1032" s="59"/>
      <c r="H1032" s="59"/>
      <c r="AA1032" s="64"/>
      <c r="AJ1032" s="123"/>
    </row>
    <row r="1033" spans="1:36" ht="15.75" customHeight="1" x14ac:dyDescent="0.25">
      <c r="A1033" s="59"/>
      <c r="H1033" s="59"/>
      <c r="AA1033" s="64"/>
      <c r="AJ1033" s="123"/>
    </row>
    <row r="1034" spans="1:36" ht="15.75" customHeight="1" x14ac:dyDescent="0.25">
      <c r="A1034" s="59"/>
      <c r="H1034" s="59"/>
      <c r="AA1034" s="64"/>
      <c r="AJ1034" s="123"/>
    </row>
    <row r="1035" spans="1:36" ht="15.75" customHeight="1" x14ac:dyDescent="0.25">
      <c r="A1035" s="59"/>
      <c r="H1035" s="59"/>
      <c r="AA1035" s="64"/>
      <c r="AJ1035" s="123"/>
    </row>
    <row r="1036" spans="1:36" ht="15.75" customHeight="1" x14ac:dyDescent="0.25">
      <c r="A1036" s="59"/>
      <c r="H1036" s="59"/>
      <c r="AA1036" s="64"/>
      <c r="AJ1036" s="123"/>
    </row>
    <row r="1037" spans="1:36" ht="15.75" customHeight="1" x14ac:dyDescent="0.25">
      <c r="A1037" s="59"/>
      <c r="H1037" s="59"/>
      <c r="AA1037" s="64"/>
      <c r="AJ1037" s="123"/>
    </row>
    <row r="1038" spans="1:36" ht="15.75" customHeight="1" x14ac:dyDescent="0.25">
      <c r="A1038" s="59"/>
      <c r="H1038" s="59"/>
      <c r="AA1038" s="64"/>
      <c r="AJ1038" s="123"/>
    </row>
    <row r="1039" spans="1:36" ht="15.75" customHeight="1" x14ac:dyDescent="0.25">
      <c r="A1039" s="59"/>
      <c r="H1039" s="59"/>
      <c r="AA1039" s="64"/>
      <c r="AJ1039" s="123"/>
    </row>
    <row r="1040" spans="1:36" ht="15.75" customHeight="1" x14ac:dyDescent="0.25">
      <c r="A1040" s="59"/>
      <c r="H1040" s="59"/>
      <c r="AA1040" s="64"/>
      <c r="AJ1040" s="123"/>
    </row>
    <row r="1041" spans="1:36" ht="15.75" customHeight="1" x14ac:dyDescent="0.25">
      <c r="A1041" s="59"/>
      <c r="H1041" s="59"/>
      <c r="AA1041" s="64"/>
      <c r="AJ1041" s="123"/>
    </row>
    <row r="1042" spans="1:36" ht="15.75" customHeight="1" x14ac:dyDescent="0.25">
      <c r="A1042" s="59"/>
      <c r="H1042" s="59"/>
      <c r="AA1042" s="64"/>
      <c r="AJ1042" s="123"/>
    </row>
    <row r="1043" spans="1:36" ht="15.75" customHeight="1" x14ac:dyDescent="0.25">
      <c r="A1043" s="59"/>
      <c r="H1043" s="59"/>
      <c r="AA1043" s="64"/>
      <c r="AJ1043" s="123"/>
    </row>
    <row r="1044" spans="1:36" ht="15.75" customHeight="1" x14ac:dyDescent="0.25">
      <c r="A1044" s="59"/>
      <c r="H1044" s="59"/>
      <c r="AA1044" s="64"/>
      <c r="AJ1044" s="123"/>
    </row>
    <row r="1045" spans="1:36" ht="15.75" customHeight="1" x14ac:dyDescent="0.25">
      <c r="A1045" s="59"/>
      <c r="H1045" s="59"/>
      <c r="AA1045" s="64"/>
      <c r="AJ1045" s="123"/>
    </row>
    <row r="1046" spans="1:36" ht="15.75" customHeight="1" x14ac:dyDescent="0.25">
      <c r="A1046" s="59"/>
      <c r="H1046" s="59"/>
      <c r="AA1046" s="64"/>
      <c r="AJ1046" s="123"/>
    </row>
    <row r="1047" spans="1:36" ht="15.75" customHeight="1" x14ac:dyDescent="0.25">
      <c r="A1047" s="59"/>
      <c r="H1047" s="59"/>
      <c r="AA1047" s="64"/>
      <c r="AJ1047" s="123"/>
    </row>
    <row r="1048" spans="1:36" ht="15.75" customHeight="1" x14ac:dyDescent="0.25">
      <c r="A1048" s="59"/>
      <c r="H1048" s="59"/>
      <c r="AA1048" s="64"/>
      <c r="AJ1048" s="123"/>
    </row>
    <row r="1049" spans="1:36" ht="15.75" customHeight="1" x14ac:dyDescent="0.25">
      <c r="A1049" s="59"/>
      <c r="H1049" s="59"/>
      <c r="AA1049" s="64"/>
      <c r="AJ1049" s="123"/>
    </row>
    <row r="1050" spans="1:36" ht="15.75" customHeight="1" x14ac:dyDescent="0.25">
      <c r="A1050" s="59"/>
      <c r="H1050" s="59"/>
      <c r="AA1050" s="64"/>
      <c r="AJ1050" s="123"/>
    </row>
    <row r="1051" spans="1:36" ht="15.75" customHeight="1" x14ac:dyDescent="0.25">
      <c r="A1051" s="59"/>
      <c r="H1051" s="59"/>
      <c r="AA1051" s="64"/>
      <c r="AJ1051" s="123"/>
    </row>
    <row r="1052" spans="1:36" ht="15.75" customHeight="1" x14ac:dyDescent="0.25">
      <c r="A1052" s="59"/>
      <c r="H1052" s="59"/>
      <c r="AA1052" s="64"/>
      <c r="AJ1052" s="123"/>
    </row>
    <row r="1053" spans="1:36" ht="15.75" customHeight="1" x14ac:dyDescent="0.25">
      <c r="A1053" s="59"/>
      <c r="H1053" s="59"/>
      <c r="AA1053" s="64"/>
      <c r="AJ1053" s="123"/>
    </row>
    <row r="1054" spans="1:36" ht="15.75" customHeight="1" x14ac:dyDescent="0.25">
      <c r="A1054" s="59"/>
      <c r="H1054" s="59"/>
      <c r="AA1054" s="64"/>
      <c r="AJ1054" s="123"/>
    </row>
    <row r="1055" spans="1:36" ht="15.75" customHeight="1" x14ac:dyDescent="0.25">
      <c r="A1055" s="59"/>
      <c r="H1055" s="59"/>
      <c r="AA1055" s="64"/>
      <c r="AJ1055" s="123"/>
    </row>
    <row r="1056" spans="1:36" ht="15.75" customHeight="1" x14ac:dyDescent="0.25">
      <c r="A1056" s="59"/>
      <c r="H1056" s="59"/>
      <c r="AA1056" s="64"/>
      <c r="AJ1056" s="123"/>
    </row>
    <row r="1057" spans="1:36" ht="15.75" customHeight="1" x14ac:dyDescent="0.25">
      <c r="A1057" s="59"/>
      <c r="H1057" s="59"/>
      <c r="AA1057" s="64"/>
      <c r="AJ1057" s="123"/>
    </row>
    <row r="1058" spans="1:36" ht="15.75" customHeight="1" x14ac:dyDescent="0.25">
      <c r="A1058" s="59"/>
      <c r="H1058" s="59"/>
      <c r="AA1058" s="64"/>
      <c r="AJ1058" s="123"/>
    </row>
    <row r="1059" spans="1:36" ht="15.75" customHeight="1" x14ac:dyDescent="0.25">
      <c r="A1059" s="59"/>
      <c r="H1059" s="59"/>
      <c r="AA1059" s="64"/>
      <c r="AJ1059" s="123"/>
    </row>
    <row r="1060" spans="1:36" ht="15.75" customHeight="1" x14ac:dyDescent="0.25">
      <c r="A1060" s="59"/>
      <c r="H1060" s="59"/>
      <c r="AA1060" s="64"/>
      <c r="AJ1060" s="123"/>
    </row>
    <row r="1061" spans="1:36" ht="15.75" customHeight="1" x14ac:dyDescent="0.25">
      <c r="A1061" s="59"/>
      <c r="H1061" s="59"/>
      <c r="AA1061" s="64"/>
      <c r="AJ1061" s="123"/>
    </row>
    <row r="1048576" spans="13:13" ht="15" customHeight="1" x14ac:dyDescent="0.25">
      <c r="M1048576" s="201"/>
    </row>
  </sheetData>
  <autoFilter ref="A1:AM1061" xr:uid="{00000000-0001-0000-0100-000000000000}"/>
  <mergeCells count="665">
    <mergeCell ref="A590:A610"/>
    <mergeCell ref="A574:A586"/>
    <mergeCell ref="B574:B586"/>
    <mergeCell ref="A587:A589"/>
    <mergeCell ref="B587:B589"/>
    <mergeCell ref="G556:G557"/>
    <mergeCell ref="H556:H557"/>
    <mergeCell ref="I556:I557"/>
    <mergeCell ref="J556:J557"/>
    <mergeCell ref="K556:K557"/>
    <mergeCell ref="L556:L557"/>
    <mergeCell ref="M556:M557"/>
    <mergeCell ref="N556:N557"/>
    <mergeCell ref="G570:G573"/>
    <mergeCell ref="H570:H573"/>
    <mergeCell ref="I570:I573"/>
    <mergeCell ref="J570:J573"/>
    <mergeCell ref="K570:K573"/>
    <mergeCell ref="L570:L573"/>
    <mergeCell ref="N570:N573"/>
    <mergeCell ref="R558:R567"/>
    <mergeCell ref="G568:G569"/>
    <mergeCell ref="H568:H569"/>
    <mergeCell ref="I568:I569"/>
    <mergeCell ref="J568:J569"/>
    <mergeCell ref="K568:K569"/>
    <mergeCell ref="L568:L569"/>
    <mergeCell ref="M568:M569"/>
    <mergeCell ref="N568:N569"/>
    <mergeCell ref="Q568:Q569"/>
    <mergeCell ref="R568:R569"/>
    <mergeCell ref="G558:G567"/>
    <mergeCell ref="H558:H567"/>
    <mergeCell ref="I558:I567"/>
    <mergeCell ref="J558:J567"/>
    <mergeCell ref="K558:K567"/>
    <mergeCell ref="L558:L567"/>
    <mergeCell ref="M558:M567"/>
    <mergeCell ref="N558:N567"/>
    <mergeCell ref="Q558:Q567"/>
    <mergeCell ref="AM29:AM31"/>
    <mergeCell ref="AM32:AM33"/>
    <mergeCell ref="AM34:AM38"/>
    <mergeCell ref="B9:B25"/>
    <mergeCell ref="C9:C25"/>
    <mergeCell ref="D9:D25"/>
    <mergeCell ref="E9:E25"/>
    <mergeCell ref="F9:F25"/>
    <mergeCell ref="G9:G25"/>
    <mergeCell ref="H9:H25"/>
    <mergeCell ref="I9:I25"/>
    <mergeCell ref="J9:J25"/>
    <mergeCell ref="K9:K25"/>
    <mergeCell ref="L9:L25"/>
    <mergeCell ref="M9:M25"/>
    <mergeCell ref="N9:N25"/>
    <mergeCell ref="O9:O25"/>
    <mergeCell ref="P9:P25"/>
    <mergeCell ref="Q9:Q25"/>
    <mergeCell ref="R9:R25"/>
    <mergeCell ref="AJ29:AJ31"/>
    <mergeCell ref="AK29:AK31"/>
    <mergeCell ref="AK32:AK33"/>
    <mergeCell ref="P26:P48"/>
    <mergeCell ref="Q26:Q48"/>
    <mergeCell ref="R26:R48"/>
    <mergeCell ref="S26:S48"/>
    <mergeCell ref="T26:T48"/>
    <mergeCell ref="U26:U48"/>
    <mergeCell ref="V26:V48"/>
    <mergeCell ref="AA34:AA48"/>
    <mergeCell ref="AK35:AK38"/>
    <mergeCell ref="AJ39:AJ47"/>
    <mergeCell ref="AK39:AK47"/>
    <mergeCell ref="AI32:AI33"/>
    <mergeCell ref="AJ32:AJ33"/>
    <mergeCell ref="AH35:AH38"/>
    <mergeCell ref="AI35:AI38"/>
    <mergeCell ref="AD27:AD33"/>
    <mergeCell ref="AE27:AE33"/>
    <mergeCell ref="AJ35:AJ38"/>
    <mergeCell ref="E2:E8"/>
    <mergeCell ref="E26:E54"/>
    <mergeCell ref="G2:G8"/>
    <mergeCell ref="G26:G48"/>
    <mergeCell ref="H49:H54"/>
    <mergeCell ref="I49:I54"/>
    <mergeCell ref="K49:K54"/>
    <mergeCell ref="L49:L54"/>
    <mergeCell ref="M49:M54"/>
    <mergeCell ref="J2:J8"/>
    <mergeCell ref="K2:K8"/>
    <mergeCell ref="L2:L8"/>
    <mergeCell ref="M2:M8"/>
    <mergeCell ref="I2:I8"/>
    <mergeCell ref="N2:N8"/>
    <mergeCell ref="O2:O8"/>
    <mergeCell ref="AG27:AG33"/>
    <mergeCell ref="AH29:AH31"/>
    <mergeCell ref="AI29:AI31"/>
    <mergeCell ref="M26:M48"/>
    <mergeCell ref="N26:N48"/>
    <mergeCell ref="AH32:AH33"/>
    <mergeCell ref="O55:O85"/>
    <mergeCell ref="P55:P85"/>
    <mergeCell ref="Q55:Q85"/>
    <mergeCell ref="R55:R85"/>
    <mergeCell ref="Q2:Q8"/>
    <mergeCell ref="R2:R8"/>
    <mergeCell ref="AA26:AA31"/>
    <mergeCell ref="N49:N54"/>
    <mergeCell ref="AF49:AF50"/>
    <mergeCell ref="AG49:AG50"/>
    <mergeCell ref="AB34:AB48"/>
    <mergeCell ref="AD34:AD48"/>
    <mergeCell ref="AE34:AE48"/>
    <mergeCell ref="AF34:AF48"/>
    <mergeCell ref="AG34:AG48"/>
    <mergeCell ref="O26:O48"/>
    <mergeCell ref="I55:I85"/>
    <mergeCell ref="J55:J85"/>
    <mergeCell ref="AF27:AF33"/>
    <mergeCell ref="AH39:AH47"/>
    <mergeCell ref="AI39:AI47"/>
    <mergeCell ref="AM39:AM47"/>
    <mergeCell ref="B2:B8"/>
    <mergeCell ref="C2:C8"/>
    <mergeCell ref="D2:D8"/>
    <mergeCell ref="F2:F8"/>
    <mergeCell ref="H2:H8"/>
    <mergeCell ref="B26:B54"/>
    <mergeCell ref="F26:F54"/>
    <mergeCell ref="Q49:Q54"/>
    <mergeCell ref="R49:R54"/>
    <mergeCell ref="H26:H48"/>
    <mergeCell ref="I26:I48"/>
    <mergeCell ref="J26:J48"/>
    <mergeCell ref="K26:K48"/>
    <mergeCell ref="L26:L48"/>
    <mergeCell ref="O49:O54"/>
    <mergeCell ref="P49:P54"/>
    <mergeCell ref="G49:G54"/>
    <mergeCell ref="P2:P8"/>
    <mergeCell ref="R108:R119"/>
    <mergeCell ref="I108:I119"/>
    <mergeCell ref="J108:J119"/>
    <mergeCell ref="K108:K119"/>
    <mergeCell ref="L108:L119"/>
    <mergeCell ref="M108:M119"/>
    <mergeCell ref="N108:N119"/>
    <mergeCell ref="O108:O119"/>
    <mergeCell ref="P86:P107"/>
    <mergeCell ref="Q86:Q107"/>
    <mergeCell ref="R86:R107"/>
    <mergeCell ref="I86:I107"/>
    <mergeCell ref="K86:K107"/>
    <mergeCell ref="L86:L107"/>
    <mergeCell ref="M86:M107"/>
    <mergeCell ref="N86:N107"/>
    <mergeCell ref="O86:O107"/>
    <mergeCell ref="F137:F142"/>
    <mergeCell ref="G137:G140"/>
    <mergeCell ref="H137:H140"/>
    <mergeCell ref="I137:I140"/>
    <mergeCell ref="L137:L140"/>
    <mergeCell ref="I141:I142"/>
    <mergeCell ref="L141:L142"/>
    <mergeCell ref="P108:P119"/>
    <mergeCell ref="Q108:Q119"/>
    <mergeCell ref="O163:O177"/>
    <mergeCell ref="P163:P177"/>
    <mergeCell ref="Q163:Q177"/>
    <mergeCell ref="U160:U162"/>
    <mergeCell ref="U144:U145"/>
    <mergeCell ref="V144:V145"/>
    <mergeCell ref="S146:S159"/>
    <mergeCell ref="T146:T159"/>
    <mergeCell ref="U146:U159"/>
    <mergeCell ref="V146:V159"/>
    <mergeCell ref="O160:O162"/>
    <mergeCell ref="V160:V162"/>
    <mergeCell ref="O144:O145"/>
    <mergeCell ref="P144:P145"/>
    <mergeCell ref="Q144:Q145"/>
    <mergeCell ref="R144:R145"/>
    <mergeCell ref="S144:S145"/>
    <mergeCell ref="T144:T145"/>
    <mergeCell ref="P160:P162"/>
    <mergeCell ref="Q160:Q162"/>
    <mergeCell ref="R160:R162"/>
    <mergeCell ref="S160:S162"/>
    <mergeCell ref="T160:T162"/>
    <mergeCell ref="S163:S177"/>
    <mergeCell ref="T163:T177"/>
    <mergeCell ref="U163:U177"/>
    <mergeCell ref="V163:V177"/>
    <mergeCell ref="Z186:Z187"/>
    <mergeCell ref="AH207:AH208"/>
    <mergeCell ref="AI207:AI208"/>
    <mergeCell ref="AJ207:AJ208"/>
    <mergeCell ref="AK207:AK208"/>
    <mergeCell ref="U197:U200"/>
    <mergeCell ref="V197:V200"/>
    <mergeCell ref="AM207:AM208"/>
    <mergeCell ref="AA186:AA187"/>
    <mergeCell ref="AB186:AB187"/>
    <mergeCell ref="AC186:AC187"/>
    <mergeCell ref="AH186:AH187"/>
    <mergeCell ref="AI186:AI187"/>
    <mergeCell ref="AJ186:AJ187"/>
    <mergeCell ref="AK186:AK187"/>
    <mergeCell ref="H197:H200"/>
    <mergeCell ref="I197:I200"/>
    <mergeCell ref="I208:I211"/>
    <mergeCell ref="K197:K200"/>
    <mergeCell ref="L197:L200"/>
    <mergeCell ref="K208:K211"/>
    <mergeCell ref="L208:L211"/>
    <mergeCell ref="R185:R189"/>
    <mergeCell ref="U194:U196"/>
    <mergeCell ref="V194:V196"/>
    <mergeCell ref="Q207:Q211"/>
    <mergeCell ref="R207:R211"/>
    <mergeCell ref="M208:M211"/>
    <mergeCell ref="N208:N211"/>
    <mergeCell ref="M194:M196"/>
    <mergeCell ref="M197:M200"/>
    <mergeCell ref="Q224:Q225"/>
    <mergeCell ref="R224:R225"/>
    <mergeCell ref="B194:B196"/>
    <mergeCell ref="F194:F196"/>
    <mergeCell ref="I194:I196"/>
    <mergeCell ref="K194:K196"/>
    <mergeCell ref="L194:L196"/>
    <mergeCell ref="B197:B200"/>
    <mergeCell ref="B201:B206"/>
    <mergeCell ref="H194:H196"/>
    <mergeCell ref="G201:G206"/>
    <mergeCell ref="B207:B223"/>
    <mergeCell ref="G208:G211"/>
    <mergeCell ref="H208:H211"/>
    <mergeCell ref="G213:G223"/>
    <mergeCell ref="H213:H223"/>
    <mergeCell ref="N194:N196"/>
    <mergeCell ref="O194:O196"/>
    <mergeCell ref="P194:P196"/>
    <mergeCell ref="Q194:Q196"/>
    <mergeCell ref="R194:R196"/>
    <mergeCell ref="P207:P211"/>
    <mergeCell ref="B224:B225"/>
    <mergeCell ref="N197:N200"/>
    <mergeCell ref="K243:K244"/>
    <mergeCell ref="K248:K249"/>
    <mergeCell ref="L248:L249"/>
    <mergeCell ref="M248:M249"/>
    <mergeCell ref="N248:N249"/>
    <mergeCell ref="G263:G265"/>
    <mergeCell ref="O241:O247"/>
    <mergeCell ref="P241:P247"/>
    <mergeCell ref="O224:O225"/>
    <mergeCell ref="P224:P225"/>
    <mergeCell ref="G226:G231"/>
    <mergeCell ref="G243:G244"/>
    <mergeCell ref="L226:L231"/>
    <mergeCell ref="M226:M231"/>
    <mergeCell ref="N226:N231"/>
    <mergeCell ref="O226:O231"/>
    <mergeCell ref="P226:P231"/>
    <mergeCell ref="Q241:Q247"/>
    <mergeCell ref="R241:R247"/>
    <mergeCell ref="O248:O249"/>
    <mergeCell ref="P248:P249"/>
    <mergeCell ref="Q248:Q249"/>
    <mergeCell ref="R248:R249"/>
    <mergeCell ref="O251:O263"/>
    <mergeCell ref="P251:P263"/>
    <mergeCell ref="Q251:Q263"/>
    <mergeCell ref="R251:R263"/>
    <mergeCell ref="B226:B240"/>
    <mergeCell ref="F226:F240"/>
    <mergeCell ref="H226:H231"/>
    <mergeCell ref="I226:I231"/>
    <mergeCell ref="I233:I236"/>
    <mergeCell ref="B241:B247"/>
    <mergeCell ref="G233:G236"/>
    <mergeCell ref="H233:H236"/>
    <mergeCell ref="H243:H244"/>
    <mergeCell ref="I243:I244"/>
    <mergeCell ref="G266:G271"/>
    <mergeCell ref="K266:K271"/>
    <mergeCell ref="K272:K285"/>
    <mergeCell ref="G272:G285"/>
    <mergeCell ref="G286:G287"/>
    <mergeCell ref="H286:H287"/>
    <mergeCell ref="I286:I287"/>
    <mergeCell ref="H266:H271"/>
    <mergeCell ref="I266:I271"/>
    <mergeCell ref="B248:B250"/>
    <mergeCell ref="G248:G249"/>
    <mergeCell ref="H248:H249"/>
    <mergeCell ref="I248:I249"/>
    <mergeCell ref="B251:B265"/>
    <mergeCell ref="B266:B287"/>
    <mergeCell ref="B288:B314"/>
    <mergeCell ref="U316:U317"/>
    <mergeCell ref="V316:V317"/>
    <mergeCell ref="L266:L287"/>
    <mergeCell ref="M266:M287"/>
    <mergeCell ref="N266:N287"/>
    <mergeCell ref="H272:H285"/>
    <mergeCell ref="I272:I285"/>
    <mergeCell ref="K286:K287"/>
    <mergeCell ref="Q288:Q307"/>
    <mergeCell ref="R288:R307"/>
    <mergeCell ref="H263:H265"/>
    <mergeCell ref="H288:H307"/>
    <mergeCell ref="L288:L306"/>
    <mergeCell ref="M288:M307"/>
    <mergeCell ref="N288:N306"/>
    <mergeCell ref="O288:O307"/>
    <mergeCell ref="P288:P307"/>
    <mergeCell ref="B316:B318"/>
    <mergeCell ref="G316:G317"/>
    <mergeCell ref="H316:H318"/>
    <mergeCell ref="I316:I317"/>
    <mergeCell ref="K316:K317"/>
    <mergeCell ref="L316:L317"/>
    <mergeCell ref="M316:M318"/>
    <mergeCell ref="Q316:Q318"/>
    <mergeCell ref="N316:N317"/>
    <mergeCell ref="O316:O318"/>
    <mergeCell ref="P316:P318"/>
    <mergeCell ref="R361:R374"/>
    <mergeCell ref="O361:O374"/>
    <mergeCell ref="P361:P374"/>
    <mergeCell ref="Q361:Q374"/>
    <mergeCell ref="X316:X317"/>
    <mergeCell ref="Z316:Z317"/>
    <mergeCell ref="AA316:AA317"/>
    <mergeCell ref="AB316:AB317"/>
    <mergeCell ref="AC316:AC317"/>
    <mergeCell ref="R316:R318"/>
    <mergeCell ref="S316:S317"/>
    <mergeCell ref="T316:T317"/>
    <mergeCell ref="W316:W317"/>
    <mergeCell ref="L329:L334"/>
    <mergeCell ref="M329:M334"/>
    <mergeCell ref="N329:N334"/>
    <mergeCell ref="O329:O334"/>
    <mergeCell ref="P329:P334"/>
    <mergeCell ref="Q329:Q334"/>
    <mergeCell ref="R329:R334"/>
    <mergeCell ref="P343:P345"/>
    <mergeCell ref="Q343:Q345"/>
    <mergeCell ref="K370:K371"/>
    <mergeCell ref="M361:M374"/>
    <mergeCell ref="N361:N374"/>
    <mergeCell ref="G362:G363"/>
    <mergeCell ref="N355:N357"/>
    <mergeCell ref="L361:L374"/>
    <mergeCell ref="K362:K363"/>
    <mergeCell ref="H362:H363"/>
    <mergeCell ref="I362:I363"/>
    <mergeCell ref="G364:G365"/>
    <mergeCell ref="H364:H365"/>
    <mergeCell ref="I364:I365"/>
    <mergeCell ref="K364:K365"/>
    <mergeCell ref="G367:G369"/>
    <mergeCell ref="H367:H369"/>
    <mergeCell ref="I367:I369"/>
    <mergeCell ref="K367:K369"/>
    <mergeCell ref="B319:B321"/>
    <mergeCell ref="B322:B328"/>
    <mergeCell ref="G324:G325"/>
    <mergeCell ref="H324:H325"/>
    <mergeCell ref="I324:I325"/>
    <mergeCell ref="B329:B334"/>
    <mergeCell ref="B335:B339"/>
    <mergeCell ref="K324:K325"/>
    <mergeCell ref="K329:K334"/>
    <mergeCell ref="B343:B345"/>
    <mergeCell ref="Q322:Q324"/>
    <mergeCell ref="R322:R324"/>
    <mergeCell ref="B346:B353"/>
    <mergeCell ref="B355:B358"/>
    <mergeCell ref="B361:B375"/>
    <mergeCell ref="B380:B382"/>
    <mergeCell ref="B384:B385"/>
    <mergeCell ref="B386:B423"/>
    <mergeCell ref="L324:L325"/>
    <mergeCell ref="M335:M339"/>
    <mergeCell ref="O335:O339"/>
    <mergeCell ref="P335:P339"/>
    <mergeCell ref="M322:M324"/>
    <mergeCell ref="Q335:Q339"/>
    <mergeCell ref="R335:R339"/>
    <mergeCell ref="O343:O345"/>
    <mergeCell ref="R343:R345"/>
    <mergeCell ref="K355:K357"/>
    <mergeCell ref="L355:L357"/>
    <mergeCell ref="M355:M357"/>
    <mergeCell ref="G370:G371"/>
    <mergeCell ref="H370:H371"/>
    <mergeCell ref="I370:I371"/>
    <mergeCell ref="B424:B435"/>
    <mergeCell ref="B436:B437"/>
    <mergeCell ref="B438:B442"/>
    <mergeCell ref="B443:B445"/>
    <mergeCell ref="B446:B448"/>
    <mergeCell ref="H446:H448"/>
    <mergeCell ref="H449:H451"/>
    <mergeCell ref="O490:O518"/>
    <mergeCell ref="P490:P518"/>
    <mergeCell ref="K449:K451"/>
    <mergeCell ref="L449:L452"/>
    <mergeCell ref="M449:M452"/>
    <mergeCell ref="N449:N452"/>
    <mergeCell ref="N456:N457"/>
    <mergeCell ref="P456:P457"/>
    <mergeCell ref="K487:K489"/>
    <mergeCell ref="L487:L489"/>
    <mergeCell ref="M487:M489"/>
    <mergeCell ref="N487:N489"/>
    <mergeCell ref="G480:G484"/>
    <mergeCell ref="H480:H484"/>
    <mergeCell ref="I480:I484"/>
    <mergeCell ref="K480:K481"/>
    <mergeCell ref="L480:L481"/>
    <mergeCell ref="Q490:Q518"/>
    <mergeCell ref="R490:R518"/>
    <mergeCell ref="B485:B518"/>
    <mergeCell ref="H490:H518"/>
    <mergeCell ref="I490:I518"/>
    <mergeCell ref="L490:L518"/>
    <mergeCell ref="M490:M518"/>
    <mergeCell ref="N490:N518"/>
    <mergeCell ref="Q446:Q448"/>
    <mergeCell ref="R446:R448"/>
    <mergeCell ref="I446:I448"/>
    <mergeCell ref="K446:K448"/>
    <mergeCell ref="L446:L448"/>
    <mergeCell ref="M446:M448"/>
    <mergeCell ref="N446:N448"/>
    <mergeCell ref="O446:O448"/>
    <mergeCell ref="P446:P448"/>
    <mergeCell ref="O449:O452"/>
    <mergeCell ref="P449:P452"/>
    <mergeCell ref="Q449:Q452"/>
    <mergeCell ref="R449:R452"/>
    <mergeCell ref="G446:G448"/>
    <mergeCell ref="G449:G451"/>
    <mergeCell ref="I449:I451"/>
    <mergeCell ref="B519:B520"/>
    <mergeCell ref="B522:B524"/>
    <mergeCell ref="B525:B548"/>
    <mergeCell ref="B549:B552"/>
    <mergeCell ref="B554:B555"/>
    <mergeCell ref="B449:B452"/>
    <mergeCell ref="B453:B455"/>
    <mergeCell ref="B456:B467"/>
    <mergeCell ref="B468:B473"/>
    <mergeCell ref="B474:B475"/>
    <mergeCell ref="B477:B478"/>
    <mergeCell ref="B480:B484"/>
    <mergeCell ref="L554:L555"/>
    <mergeCell ref="M554:M555"/>
    <mergeCell ref="N554:N555"/>
    <mergeCell ref="G490:G518"/>
    <mergeCell ref="G519:G520"/>
    <mergeCell ref="G522:G524"/>
    <mergeCell ref="G525:G548"/>
    <mergeCell ref="G549:G552"/>
    <mergeCell ref="G554:G555"/>
    <mergeCell ref="K554:K555"/>
    <mergeCell ref="AI480:AI484"/>
    <mergeCell ref="AJ480:AJ484"/>
    <mergeCell ref="O480:O481"/>
    <mergeCell ref="P480:P481"/>
    <mergeCell ref="Q480:Q481"/>
    <mergeCell ref="R480:R481"/>
    <mergeCell ref="W480:W481"/>
    <mergeCell ref="AA480:AA483"/>
    <mergeCell ref="AH480:AH484"/>
    <mergeCell ref="R456:R457"/>
    <mergeCell ref="AH477:AH478"/>
    <mergeCell ref="AI477:AI478"/>
    <mergeCell ref="AJ477:AJ478"/>
    <mergeCell ref="G456:G457"/>
    <mergeCell ref="H456:H457"/>
    <mergeCell ref="I456:I457"/>
    <mergeCell ref="J456:J457"/>
    <mergeCell ref="K456:K457"/>
    <mergeCell ref="L456:L457"/>
    <mergeCell ref="M456:M457"/>
    <mergeCell ref="M480:M481"/>
    <mergeCell ref="N480:N481"/>
    <mergeCell ref="J86:J107"/>
    <mergeCell ref="N120:N128"/>
    <mergeCell ref="B120:B128"/>
    <mergeCell ref="E108:E119"/>
    <mergeCell ref="E120:E128"/>
    <mergeCell ref="E86:E107"/>
    <mergeCell ref="K55:K85"/>
    <mergeCell ref="L55:L85"/>
    <mergeCell ref="M55:M85"/>
    <mergeCell ref="N55:N85"/>
    <mergeCell ref="E55:E85"/>
    <mergeCell ref="B55:B85"/>
    <mergeCell ref="F55:F85"/>
    <mergeCell ref="G55:G85"/>
    <mergeCell ref="H55:H85"/>
    <mergeCell ref="B137:B142"/>
    <mergeCell ref="B144:B145"/>
    <mergeCell ref="E144:E145"/>
    <mergeCell ref="F144:F145"/>
    <mergeCell ref="G144:G145"/>
    <mergeCell ref="H144:H145"/>
    <mergeCell ref="I144:I145"/>
    <mergeCell ref="O120:O128"/>
    <mergeCell ref="P120:P128"/>
    <mergeCell ref="Q120:Q128"/>
    <mergeCell ref="R120:R128"/>
    <mergeCell ref="F120:F128"/>
    <mergeCell ref="G120:G128"/>
    <mergeCell ref="I120:I128"/>
    <mergeCell ref="J120:J128"/>
    <mergeCell ref="K120:K128"/>
    <mergeCell ref="L120:L128"/>
    <mergeCell ref="M120:M128"/>
    <mergeCell ref="O137:O142"/>
    <mergeCell ref="P137:P142"/>
    <mergeCell ref="Q137:Q142"/>
    <mergeCell ref="R137:R142"/>
    <mergeCell ref="J129:J135"/>
    <mergeCell ref="K129:K135"/>
    <mergeCell ref="L129:L135"/>
    <mergeCell ref="M129:M135"/>
    <mergeCell ref="N129:N135"/>
    <mergeCell ref="Q129:Q135"/>
    <mergeCell ref="R129:R135"/>
    <mergeCell ref="M137:M140"/>
    <mergeCell ref="N137:N140"/>
    <mergeCell ref="M141:M142"/>
    <mergeCell ref="N141:N142"/>
    <mergeCell ref="K137:K140"/>
    <mergeCell ref="K141:K142"/>
    <mergeCell ref="L144:L145"/>
    <mergeCell ref="M144:M145"/>
    <mergeCell ref="E129:E135"/>
    <mergeCell ref="F129:F135"/>
    <mergeCell ref="G129:G135"/>
    <mergeCell ref="N144:N145"/>
    <mergeCell ref="B163:B177"/>
    <mergeCell ref="E163:E177"/>
    <mergeCell ref="G163:G177"/>
    <mergeCell ref="H163:H177"/>
    <mergeCell ref="H129:H135"/>
    <mergeCell ref="I129:I135"/>
    <mergeCell ref="M146:M159"/>
    <mergeCell ref="N146:N159"/>
    <mergeCell ref="E146:E159"/>
    <mergeCell ref="B146:B159"/>
    <mergeCell ref="F146:F159"/>
    <mergeCell ref="G146:G159"/>
    <mergeCell ref="H146:H159"/>
    <mergeCell ref="I146:I159"/>
    <mergeCell ref="J146:J159"/>
    <mergeCell ref="G141:G142"/>
    <mergeCell ref="H141:H142"/>
    <mergeCell ref="E137:E142"/>
    <mergeCell ref="B178:B180"/>
    <mergeCell ref="Q178:Q180"/>
    <mergeCell ref="R178:R180"/>
    <mergeCell ref="H160:H162"/>
    <mergeCell ref="I160:I162"/>
    <mergeCell ref="K160:K162"/>
    <mergeCell ref="L160:L162"/>
    <mergeCell ref="M160:M162"/>
    <mergeCell ref="N160:N162"/>
    <mergeCell ref="R163:R177"/>
    <mergeCell ref="O178:O180"/>
    <mergeCell ref="P178:P180"/>
    <mergeCell ref="F163:F177"/>
    <mergeCell ref="F178:F180"/>
    <mergeCell ref="I163:I177"/>
    <mergeCell ref="J163:J177"/>
    <mergeCell ref="K163:K177"/>
    <mergeCell ref="L163:L177"/>
    <mergeCell ref="M163:M177"/>
    <mergeCell ref="N163:N177"/>
    <mergeCell ref="E160:E162"/>
    <mergeCell ref="B160:B162"/>
    <mergeCell ref="F160:F162"/>
    <mergeCell ref="G160:G162"/>
    <mergeCell ref="U186:U187"/>
    <mergeCell ref="W186:W187"/>
    <mergeCell ref="L181:L184"/>
    <mergeCell ref="M181:M184"/>
    <mergeCell ref="S181:S184"/>
    <mergeCell ref="T181:T184"/>
    <mergeCell ref="U181:U184"/>
    <mergeCell ref="V181:V184"/>
    <mergeCell ref="S186:S187"/>
    <mergeCell ref="V186:V187"/>
    <mergeCell ref="L185:L187"/>
    <mergeCell ref="M185:M187"/>
    <mergeCell ref="N185:N187"/>
    <mergeCell ref="O185:O189"/>
    <mergeCell ref="P185:P189"/>
    <mergeCell ref="Q185:Q189"/>
    <mergeCell ref="F86:F107"/>
    <mergeCell ref="G86:G107"/>
    <mergeCell ref="B108:B119"/>
    <mergeCell ref="F108:F119"/>
    <mergeCell ref="G108:G119"/>
    <mergeCell ref="H108:H119"/>
    <mergeCell ref="H120:H128"/>
    <mergeCell ref="B129:B135"/>
    <mergeCell ref="B86:B107"/>
    <mergeCell ref="H86:H107"/>
    <mergeCell ref="J181:J184"/>
    <mergeCell ref="K181:K184"/>
    <mergeCell ref="B185:B189"/>
    <mergeCell ref="G185:G187"/>
    <mergeCell ref="H185:H187"/>
    <mergeCell ref="I185:I187"/>
    <mergeCell ref="B190:B193"/>
    <mergeCell ref="G194:G196"/>
    <mergeCell ref="G197:G200"/>
    <mergeCell ref="B181:B184"/>
    <mergeCell ref="F181:F184"/>
    <mergeCell ref="G181:G184"/>
    <mergeCell ref="H181:H184"/>
    <mergeCell ref="I181:I184"/>
    <mergeCell ref="F185:F189"/>
    <mergeCell ref="F190:F193"/>
    <mergeCell ref="G191:G192"/>
    <mergeCell ref="H191:H192"/>
    <mergeCell ref="I191:I192"/>
    <mergeCell ref="K191:K192"/>
    <mergeCell ref="K185:K187"/>
    <mergeCell ref="Q226:Q231"/>
    <mergeCell ref="R226:R231"/>
    <mergeCell ref="K226:K231"/>
    <mergeCell ref="K233:K236"/>
    <mergeCell ref="L233:L236"/>
    <mergeCell ref="M233:M236"/>
    <mergeCell ref="N233:N236"/>
    <mergeCell ref="AD49:AD50"/>
    <mergeCell ref="AE49:AE50"/>
    <mergeCell ref="O197:O200"/>
    <mergeCell ref="P197:P200"/>
    <mergeCell ref="Q197:Q200"/>
    <mergeCell ref="R197:R200"/>
    <mergeCell ref="O190:O192"/>
    <mergeCell ref="P190:P192"/>
    <mergeCell ref="Q190:Q192"/>
    <mergeCell ref="R190:R192"/>
    <mergeCell ref="L191:L192"/>
    <mergeCell ref="M191:M192"/>
    <mergeCell ref="N191:N192"/>
    <mergeCell ref="K146:K159"/>
    <mergeCell ref="L146:L159"/>
    <mergeCell ref="N181:N184"/>
    <mergeCell ref="T186:T187"/>
  </mergeCells>
  <phoneticPr fontId="16" type="noConversion"/>
  <conditionalFormatting sqref="AH116">
    <cfRule type="duplicateValues" dxfId="0" priority="3"/>
  </conditionalFormatting>
  <pageMargins left="0.511811024" right="0.511811024" top="0.78740157499999996" bottom="0.78740157499999996" header="0" footer="0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EDA39-45CF-49B6-83F0-0229B27CF010}">
  <dimension ref="A1:C25"/>
  <sheetViews>
    <sheetView tabSelected="1" topLeftCell="A8" workbookViewId="0">
      <selection activeCell="C20" sqref="C20"/>
    </sheetView>
  </sheetViews>
  <sheetFormatPr defaultRowHeight="15" x14ac:dyDescent="0.25"/>
  <cols>
    <col min="1" max="1" width="7.85546875" bestFit="1" customWidth="1"/>
    <col min="2" max="2" width="17.28515625" customWidth="1"/>
    <col min="3" max="3" width="19.7109375" customWidth="1"/>
  </cols>
  <sheetData>
    <row r="1" spans="1:3" ht="32.25" thickBot="1" x14ac:dyDescent="0.3">
      <c r="A1" s="370" t="s">
        <v>875</v>
      </c>
      <c r="B1" s="370" t="s">
        <v>876</v>
      </c>
      <c r="C1" s="370" t="s">
        <v>877</v>
      </c>
    </row>
    <row r="2" spans="1:3" ht="15.75" thickBot="1" x14ac:dyDescent="0.3">
      <c r="A2" s="371" t="s">
        <v>623</v>
      </c>
      <c r="B2" s="371" t="s">
        <v>878</v>
      </c>
      <c r="C2" s="371" t="s">
        <v>879</v>
      </c>
    </row>
    <row r="3" spans="1:3" ht="15.75" thickBot="1" x14ac:dyDescent="0.3">
      <c r="A3" s="372" t="s">
        <v>697</v>
      </c>
      <c r="B3" s="372" t="s">
        <v>878</v>
      </c>
      <c r="C3" s="372" t="s">
        <v>880</v>
      </c>
    </row>
    <row r="4" spans="1:3" ht="15.75" thickBot="1" x14ac:dyDescent="0.3">
      <c r="A4" s="371" t="s">
        <v>659</v>
      </c>
      <c r="B4" s="371" t="s">
        <v>878</v>
      </c>
      <c r="C4" s="371" t="s">
        <v>880</v>
      </c>
    </row>
    <row r="5" spans="1:3" ht="15.75" thickBot="1" x14ac:dyDescent="0.3">
      <c r="A5" s="372" t="s">
        <v>50</v>
      </c>
      <c r="B5" s="372" t="s">
        <v>878</v>
      </c>
      <c r="C5" s="372" t="s">
        <v>881</v>
      </c>
    </row>
    <row r="6" spans="1:3" ht="15.75" thickBot="1" x14ac:dyDescent="0.3">
      <c r="A6" s="371" t="s">
        <v>711</v>
      </c>
      <c r="B6" s="371" t="s">
        <v>878</v>
      </c>
      <c r="C6" s="371" t="s">
        <v>881</v>
      </c>
    </row>
    <row r="7" spans="1:3" ht="15.75" thickBot="1" x14ac:dyDescent="0.3">
      <c r="A7" s="372" t="s">
        <v>53</v>
      </c>
      <c r="B7" s="372" t="s">
        <v>882</v>
      </c>
      <c r="C7" s="372" t="s">
        <v>879</v>
      </c>
    </row>
    <row r="8" spans="1:3" ht="30.75" thickBot="1" x14ac:dyDescent="0.3">
      <c r="A8" s="371" t="s">
        <v>44</v>
      </c>
      <c r="B8" s="371" t="s">
        <v>882</v>
      </c>
      <c r="C8" s="371" t="s">
        <v>883</v>
      </c>
    </row>
    <row r="9" spans="1:3" ht="30.75" thickBot="1" x14ac:dyDescent="0.3">
      <c r="A9" s="372" t="s">
        <v>77</v>
      </c>
      <c r="B9" s="372" t="s">
        <v>884</v>
      </c>
      <c r="C9" s="372" t="s">
        <v>883</v>
      </c>
    </row>
    <row r="10" spans="1:3" ht="15.75" thickBot="1" x14ac:dyDescent="0.3">
      <c r="A10" s="371" t="s">
        <v>319</v>
      </c>
      <c r="B10" s="371" t="s">
        <v>885</v>
      </c>
      <c r="C10" s="371" t="s">
        <v>881</v>
      </c>
    </row>
    <row r="11" spans="1:3" ht="15.75" thickBot="1" x14ac:dyDescent="0.3">
      <c r="A11" s="372" t="s">
        <v>59</v>
      </c>
      <c r="B11" s="372" t="s">
        <v>885</v>
      </c>
      <c r="C11" s="372" t="s">
        <v>879</v>
      </c>
    </row>
    <row r="12" spans="1:3" ht="15.75" thickBot="1" x14ac:dyDescent="0.3">
      <c r="A12" s="371" t="s">
        <v>203</v>
      </c>
      <c r="B12" s="371" t="s">
        <v>886</v>
      </c>
      <c r="C12" s="371" t="s">
        <v>881</v>
      </c>
    </row>
    <row r="13" spans="1:3" ht="15.75" thickBot="1" x14ac:dyDescent="0.3">
      <c r="A13" s="372" t="s">
        <v>742</v>
      </c>
      <c r="B13" s="372" t="s">
        <v>887</v>
      </c>
      <c r="C13" s="372" t="s">
        <v>881</v>
      </c>
    </row>
    <row r="14" spans="1:3" ht="15.75" thickBot="1" x14ac:dyDescent="0.3">
      <c r="A14" s="371" t="s">
        <v>129</v>
      </c>
      <c r="B14" s="371" t="s">
        <v>887</v>
      </c>
      <c r="C14" s="371" t="s">
        <v>879</v>
      </c>
    </row>
    <row r="15" spans="1:3" ht="15.75" thickBot="1" x14ac:dyDescent="0.3">
      <c r="A15" s="372" t="s">
        <v>82</v>
      </c>
      <c r="B15" s="372" t="s">
        <v>887</v>
      </c>
      <c r="C15" s="372" t="s">
        <v>880</v>
      </c>
    </row>
    <row r="16" spans="1:3" ht="15.75" thickBot="1" x14ac:dyDescent="0.3">
      <c r="A16" s="371" t="s">
        <v>147</v>
      </c>
      <c r="B16" s="371" t="s">
        <v>888</v>
      </c>
      <c r="C16" s="371" t="s">
        <v>879</v>
      </c>
    </row>
    <row r="17" spans="1:3" ht="15.75" thickBot="1" x14ac:dyDescent="0.3">
      <c r="A17" s="372" t="s">
        <v>39</v>
      </c>
      <c r="B17" s="372" t="s">
        <v>888</v>
      </c>
      <c r="C17" s="372" t="s">
        <v>880</v>
      </c>
    </row>
    <row r="18" spans="1:3" ht="15.75" thickBot="1" x14ac:dyDescent="0.3">
      <c r="A18" s="371" t="s">
        <v>889</v>
      </c>
      <c r="B18" s="371" t="s">
        <v>890</v>
      </c>
      <c r="C18" s="371" t="s">
        <v>880</v>
      </c>
    </row>
    <row r="19" spans="1:3" ht="30.75" thickBot="1" x14ac:dyDescent="0.3">
      <c r="A19" s="373" t="s">
        <v>894</v>
      </c>
      <c r="B19" s="371" t="s">
        <v>899</v>
      </c>
      <c r="C19" s="371" t="s">
        <v>879</v>
      </c>
    </row>
    <row r="20" spans="1:3" ht="26.25" thickBot="1" x14ac:dyDescent="0.3">
      <c r="A20" s="374" t="s">
        <v>895</v>
      </c>
      <c r="B20" s="371" t="s">
        <v>901</v>
      </c>
      <c r="C20" s="371" t="s">
        <v>880</v>
      </c>
    </row>
    <row r="21" spans="1:3" ht="26.25" thickBot="1" x14ac:dyDescent="0.3">
      <c r="A21" s="375" t="s">
        <v>896</v>
      </c>
      <c r="B21" s="371" t="s">
        <v>900</v>
      </c>
      <c r="C21" s="371" t="s">
        <v>880</v>
      </c>
    </row>
    <row r="22" spans="1:3" ht="26.25" thickBot="1" x14ac:dyDescent="0.3">
      <c r="A22" s="375" t="s">
        <v>897</v>
      </c>
      <c r="B22" s="371" t="s">
        <v>900</v>
      </c>
      <c r="C22" s="371" t="s">
        <v>879</v>
      </c>
    </row>
    <row r="23" spans="1:3" ht="26.25" thickBot="1" x14ac:dyDescent="0.3">
      <c r="A23" s="376" t="s">
        <v>898</v>
      </c>
      <c r="B23" s="371" t="s">
        <v>900</v>
      </c>
      <c r="C23" s="371" t="s">
        <v>881</v>
      </c>
    </row>
    <row r="24" spans="1:3" ht="45.75" thickBot="1" x14ac:dyDescent="0.3">
      <c r="A24" s="372">
        <v>5000</v>
      </c>
      <c r="B24" s="372" t="s">
        <v>891</v>
      </c>
      <c r="C24" s="372" t="s">
        <v>892</v>
      </c>
    </row>
    <row r="25" spans="1:3" ht="45.75" thickBot="1" x14ac:dyDescent="0.3">
      <c r="A25" s="371">
        <v>1000</v>
      </c>
      <c r="B25" s="371" t="s">
        <v>893</v>
      </c>
      <c r="C25" s="371" t="s">
        <v>892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 BI</vt:lpstr>
      <vt:lpstr>Tipo de Conta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Waddington Freitas da Silva</dc:creator>
  <cp:lastModifiedBy>Anderson Klenio</cp:lastModifiedBy>
  <dcterms:created xsi:type="dcterms:W3CDTF">2026-03-19T16:41:01Z</dcterms:created>
  <dcterms:modified xsi:type="dcterms:W3CDTF">2026-03-21T13:56:13Z</dcterms:modified>
</cp:coreProperties>
</file>